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ster ecologia terrestre\TFM\models amb factor aleatori en parceles\N\"/>
    </mc:Choice>
  </mc:AlternateContent>
  <xr:revisionPtr revIDLastSave="0" documentId="13_ncr:1_{B232AF6E-8972-4C1A-9D63-337329C1CBCB}" xr6:coauthVersionLast="47" xr6:coauthVersionMax="47" xr10:uidLastSave="{00000000-0000-0000-0000-000000000000}"/>
  <bookViews>
    <workbookView xWindow="-110" yWindow="-110" windowWidth="19420" windowHeight="10300" xr2:uid="{58FD1295-66CA-4E33-A9CA-4A8F845DC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9" i="1" l="1"/>
  <c r="Y107" i="1"/>
  <c r="Y105" i="1"/>
  <c r="Y103" i="1"/>
  <c r="Y101" i="1"/>
  <c r="Y99" i="1"/>
  <c r="Y97" i="1"/>
  <c r="Y95" i="1"/>
  <c r="Y93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Y5" i="1"/>
  <c r="Y3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Y6" i="1"/>
  <c r="Y4" i="1"/>
  <c r="Y2" i="1"/>
</calcChain>
</file>

<file path=xl/sharedStrings.xml><?xml version="1.0" encoding="utf-8"?>
<sst xmlns="http://schemas.openxmlformats.org/spreadsheetml/2006/main" count="1216" uniqueCount="210">
  <si>
    <t>plot_id</t>
  </si>
  <si>
    <t xml:space="preserve">site </t>
  </si>
  <si>
    <t>type</t>
  </si>
  <si>
    <t>plot</t>
  </si>
  <si>
    <t>SN2</t>
  </si>
  <si>
    <t>SN3</t>
  </si>
  <si>
    <t>SN4</t>
  </si>
  <si>
    <t>SN5</t>
  </si>
  <si>
    <t>BoxNo</t>
  </si>
  <si>
    <t>BoxPos</t>
  </si>
  <si>
    <t>Sample year</t>
  </si>
  <si>
    <t>Number</t>
  </si>
  <si>
    <t>Parameter</t>
  </si>
  <si>
    <t>Result</t>
  </si>
  <si>
    <t>Error</t>
  </si>
  <si>
    <t>Unit</t>
  </si>
  <si>
    <t>TC_in_%</t>
  </si>
  <si>
    <t>Instrument</t>
  </si>
  <si>
    <t>Meas.date</t>
  </si>
  <si>
    <t>Weight (mg)</t>
  </si>
  <si>
    <t>Muffle furnace</t>
  </si>
  <si>
    <t>Comment</t>
  </si>
  <si>
    <t>Sampling date</t>
  </si>
  <si>
    <t>Ntotal</t>
  </si>
  <si>
    <t>CT1A_PAST_P1</t>
  </si>
  <si>
    <t>CT</t>
  </si>
  <si>
    <t>PAST</t>
  </si>
  <si>
    <t>P1</t>
  </si>
  <si>
    <t>J1</t>
  </si>
  <si>
    <t>%</t>
  </si>
  <si>
    <t>Elementaranalyse VarioMAX cube</t>
  </si>
  <si>
    <t>N</t>
  </si>
  <si>
    <t>CT1A_PAST_P2</t>
  </si>
  <si>
    <t>P2</t>
  </si>
  <si>
    <t>J3</t>
  </si>
  <si>
    <t>CT1A_PAST_P3</t>
  </si>
  <si>
    <t>P3</t>
  </si>
  <si>
    <t>J5</t>
  </si>
  <si>
    <t>CT2_PAST_P1</t>
  </si>
  <si>
    <t>J7</t>
  </si>
  <si>
    <t>CT2_PAST_P2</t>
  </si>
  <si>
    <t>J9</t>
  </si>
  <si>
    <t>CT2_PAST_P3</t>
  </si>
  <si>
    <t>A1</t>
  </si>
  <si>
    <t>CT3_PAST_P1</t>
  </si>
  <si>
    <t>A3</t>
  </si>
  <si>
    <t>CT3_PAST_P2</t>
  </si>
  <si>
    <t>A5</t>
  </si>
  <si>
    <t>CT3_PAST_P3</t>
  </si>
  <si>
    <t>A7</t>
  </si>
  <si>
    <t>CT5A_LONG_P1</t>
  </si>
  <si>
    <t>LONG</t>
  </si>
  <si>
    <t>H3</t>
  </si>
  <si>
    <t>CT5A_LONG_P2</t>
  </si>
  <si>
    <t>H5</t>
  </si>
  <si>
    <t>CT5A_LONG_P3</t>
  </si>
  <si>
    <t>H7</t>
  </si>
  <si>
    <t>CT5B_LONG_P1</t>
  </si>
  <si>
    <t>H9</t>
  </si>
  <si>
    <t>CT5B_LONG_P2</t>
  </si>
  <si>
    <t>I1</t>
  </si>
  <si>
    <t>CT5B_LONG_P3</t>
  </si>
  <si>
    <t>I3</t>
  </si>
  <si>
    <t>Co; C &gt; 25% (carbon NA over range)</t>
  </si>
  <si>
    <t>CT9_LONG_P1</t>
  </si>
  <si>
    <t>I5</t>
  </si>
  <si>
    <t>CT9_LONG_P2</t>
  </si>
  <si>
    <t>I7</t>
  </si>
  <si>
    <t>CT9_LONG_P3</t>
  </si>
  <si>
    <t>I9</t>
  </si>
  <si>
    <t>SET15_LONG_P1</t>
  </si>
  <si>
    <t>SET</t>
  </si>
  <si>
    <t>D7</t>
  </si>
  <si>
    <t>SET15_LONG_P2</t>
  </si>
  <si>
    <t>D9</t>
  </si>
  <si>
    <t>SET15_LONG_P3</t>
  </si>
  <si>
    <t>E1</t>
  </si>
  <si>
    <t>SET16_LONG_P1</t>
  </si>
  <si>
    <t>E3</t>
  </si>
  <si>
    <t>SET16_LONG_P2</t>
  </si>
  <si>
    <t>E5</t>
  </si>
  <si>
    <t>SET16_LONG_P3</t>
  </si>
  <si>
    <t>E7</t>
  </si>
  <si>
    <t>SET18_LONG_P1</t>
  </si>
  <si>
    <t>E9</t>
  </si>
  <si>
    <t>SET18_LONG_P2</t>
  </si>
  <si>
    <t>F1</t>
  </si>
  <si>
    <t>SET18_LONG_P3</t>
  </si>
  <si>
    <t>F3</t>
  </si>
  <si>
    <t>SET6A_PAST_P1</t>
  </si>
  <si>
    <t>F5</t>
  </si>
  <si>
    <t>SET6A_PAST_P2</t>
  </si>
  <si>
    <t>F7</t>
  </si>
  <si>
    <t>SET6A_PAST_P3</t>
  </si>
  <si>
    <t>F9</t>
  </si>
  <si>
    <t>SET6B_PAST_P1</t>
  </si>
  <si>
    <t>G1</t>
  </si>
  <si>
    <t>SET6B_PAST_P2</t>
  </si>
  <si>
    <t>G3</t>
  </si>
  <si>
    <t>SET6B_PAST_P3</t>
  </si>
  <si>
    <t>G5</t>
  </si>
  <si>
    <t>SET6C_PAST_P1</t>
  </si>
  <si>
    <t>G7</t>
  </si>
  <si>
    <t>SET6C_PAST_P2</t>
  </si>
  <si>
    <t>G9</t>
  </si>
  <si>
    <t>SET6C_PAST_P3</t>
  </si>
  <si>
    <t>H1</t>
  </si>
  <si>
    <t>SF1_PAST_P1</t>
  </si>
  <si>
    <t>SF</t>
  </si>
  <si>
    <t>B9</t>
  </si>
  <si>
    <t>SF1_PAST_P2</t>
  </si>
  <si>
    <t>C1</t>
  </si>
  <si>
    <t>SF1_PAST_P3</t>
  </si>
  <si>
    <t>C3</t>
  </si>
  <si>
    <t>SF4A_LONG_P1</t>
  </si>
  <si>
    <t>SF4A_LONG_P2</t>
  </si>
  <si>
    <t>SF4A_LONG_P3</t>
  </si>
  <si>
    <t>SF4B_LONG_P1</t>
  </si>
  <si>
    <t>SF4B_LONG_P2</t>
  </si>
  <si>
    <t>A9</t>
  </si>
  <si>
    <t>SF4B_LONG_P3</t>
  </si>
  <si>
    <t>B1</t>
  </si>
  <si>
    <t>SF6_PAST_P1</t>
  </si>
  <si>
    <t>C5</t>
  </si>
  <si>
    <t>SF6_PAST_P2</t>
  </si>
  <si>
    <t>C7</t>
  </si>
  <si>
    <t>SF6_PAST_P3</t>
  </si>
  <si>
    <t>C9</t>
  </si>
  <si>
    <t>B3</t>
  </si>
  <si>
    <t>B5</t>
  </si>
  <si>
    <t>B7</t>
  </si>
  <si>
    <t>D1</t>
  </si>
  <si>
    <t>D3</t>
  </si>
  <si>
    <t>D5</t>
  </si>
  <si>
    <t>J2</t>
  </si>
  <si>
    <t>J4</t>
  </si>
  <si>
    <t>J6</t>
  </si>
  <si>
    <t>J8</t>
  </si>
  <si>
    <t>J10</t>
  </si>
  <si>
    <t>A2</t>
  </si>
  <si>
    <t>A4</t>
  </si>
  <si>
    <t>A6</t>
  </si>
  <si>
    <t>A8</t>
  </si>
  <si>
    <t>H4</t>
  </si>
  <si>
    <t>H6</t>
  </si>
  <si>
    <t>H8</t>
  </si>
  <si>
    <t>H10</t>
  </si>
  <si>
    <t>I2</t>
  </si>
  <si>
    <t>I4</t>
  </si>
  <si>
    <t>I6</t>
  </si>
  <si>
    <t>I8</t>
  </si>
  <si>
    <t>I10</t>
  </si>
  <si>
    <t>D8</t>
  </si>
  <si>
    <t>D10</t>
  </si>
  <si>
    <t>E2</t>
  </si>
  <si>
    <t>E4</t>
  </si>
  <si>
    <t>E6</t>
  </si>
  <si>
    <t>E8</t>
  </si>
  <si>
    <t>E10</t>
  </si>
  <si>
    <t>F2</t>
  </si>
  <si>
    <t>F4</t>
  </si>
  <si>
    <t>F6</t>
  </si>
  <si>
    <t>F8</t>
  </si>
  <si>
    <t>F10</t>
  </si>
  <si>
    <t>G2</t>
  </si>
  <si>
    <t>G4</t>
  </si>
  <si>
    <t>G6</t>
  </si>
  <si>
    <t>G8</t>
  </si>
  <si>
    <t>G10</t>
  </si>
  <si>
    <t>H2</t>
  </si>
  <si>
    <t>B10</t>
  </si>
  <si>
    <t>C2</t>
  </si>
  <si>
    <t>C4</t>
  </si>
  <si>
    <t>A10</t>
  </si>
  <si>
    <t>B2</t>
  </si>
  <si>
    <t>C6</t>
  </si>
  <si>
    <t>C8</t>
  </si>
  <si>
    <t>C10</t>
  </si>
  <si>
    <t>B4</t>
  </si>
  <si>
    <t>B6</t>
  </si>
  <si>
    <t>B8</t>
  </si>
  <si>
    <t>D2</t>
  </si>
  <si>
    <t>D4</t>
  </si>
  <si>
    <t>D6</t>
  </si>
  <si>
    <t xml:space="preserve">outlier </t>
  </si>
  <si>
    <t>point</t>
  </si>
  <si>
    <t>CT1A_PAST</t>
  </si>
  <si>
    <t>CT2_PAST</t>
  </si>
  <si>
    <t>CT3_PAST</t>
  </si>
  <si>
    <t>CT5A_LONG</t>
  </si>
  <si>
    <t>CT5B_LONG</t>
  </si>
  <si>
    <t>CT9_LONG</t>
  </si>
  <si>
    <t>SET15_LONG</t>
  </si>
  <si>
    <t>SET16_LONG</t>
  </si>
  <si>
    <t>SET18_LONG</t>
  </si>
  <si>
    <t>SET6A_PAST</t>
  </si>
  <si>
    <t>SET6B_PAST</t>
  </si>
  <si>
    <t>SET6C_PAST</t>
  </si>
  <si>
    <t>SF1_PAST</t>
  </si>
  <si>
    <t>SF4A_LONG</t>
  </si>
  <si>
    <t>SF4B_LONG</t>
  </si>
  <si>
    <t>SF6_PAST</t>
  </si>
  <si>
    <t>SF7_LONG_P1</t>
  </si>
  <si>
    <t>SF7_LONG_P2</t>
  </si>
  <si>
    <t>SF7_LONG_P3</t>
  </si>
  <si>
    <t>SF7_PAST_P1</t>
  </si>
  <si>
    <t>SF7_PAST_P2</t>
  </si>
  <si>
    <t>SF7_PAST_P3</t>
  </si>
  <si>
    <t>SF7_LONG</t>
  </si>
  <si>
    <t>SF7_PAST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</si>
</sst>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3A31-0958-43B0-A4F7-F2632FCC524D}">
  <dimension ref="A1:AA115"/>
  <sheetViews>
    <sheetView tabSelected="1" workbookViewId="0">
      <selection activeCell="N16" sqref="N16"/>
    </sheetView>
  </sheetViews>
  <sheetFormatPr baseColWidth="10" defaultRowHeight="14.5" x14ac:dyDescent="0.35"/>
  <cols>
    <col min="1" max="1" width="18.36328125" customWidth="1"/>
    <col min="3" max="3" width="17.453125" customWidth="1"/>
    <col min="7" max="13" width="0" hidden="1" customWidth="1"/>
    <col min="16" max="16" width="0" hidden="1" customWidth="1"/>
    <col min="19" max="24" width="0" hidden="1" customWidth="1"/>
    <col min="25" max="25" width="21.7265625" style="2" customWidth="1"/>
  </cols>
  <sheetData>
    <row r="1" spans="1:26" x14ac:dyDescent="0.35">
      <c r="A1" t="s">
        <v>0</v>
      </c>
      <c r="B1" t="s">
        <v>1</v>
      </c>
      <c r="C1" t="s">
        <v>3</v>
      </c>
      <c r="D1" t="s">
        <v>2</v>
      </c>
      <c r="E1" t="s">
        <v>185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1" t="s">
        <v>20</v>
      </c>
      <c r="W1" t="s">
        <v>21</v>
      </c>
      <c r="X1" t="s">
        <v>22</v>
      </c>
      <c r="Y1" s="2" t="s">
        <v>23</v>
      </c>
      <c r="Z1" t="s">
        <v>15</v>
      </c>
    </row>
    <row r="2" spans="1:26" x14ac:dyDescent="0.35">
      <c r="A2" t="s">
        <v>24</v>
      </c>
      <c r="B2" t="s">
        <v>25</v>
      </c>
      <c r="C2" t="s">
        <v>186</v>
      </c>
      <c r="D2" t="s">
        <v>26</v>
      </c>
      <c r="E2" t="s">
        <v>27</v>
      </c>
      <c r="F2">
        <v>1</v>
      </c>
      <c r="J2">
        <v>48</v>
      </c>
      <c r="K2" t="s">
        <v>28</v>
      </c>
      <c r="L2">
        <v>2025</v>
      </c>
      <c r="M2">
        <v>13692</v>
      </c>
      <c r="N2" t="s">
        <v>23</v>
      </c>
      <c r="O2">
        <v>0.24399999999999999</v>
      </c>
      <c r="Q2" t="s">
        <v>29</v>
      </c>
      <c r="R2">
        <v>99.733637000242155</v>
      </c>
      <c r="S2" s="3" t="s">
        <v>30</v>
      </c>
      <c r="T2" s="4">
        <v>46007</v>
      </c>
      <c r="U2" s="3">
        <v>247.6</v>
      </c>
      <c r="V2" s="1" t="s">
        <v>31</v>
      </c>
      <c r="X2" s="4"/>
      <c r="Y2" s="2">
        <f t="shared" ref="Y2:Y33" si="0">(O2*100)/R2</f>
        <v>0.2446516615045409</v>
      </c>
      <c r="Z2" t="s">
        <v>29</v>
      </c>
    </row>
    <row r="3" spans="1:26" x14ac:dyDescent="0.35">
      <c r="A3" t="s">
        <v>24</v>
      </c>
      <c r="B3" t="s">
        <v>25</v>
      </c>
      <c r="C3" t="s">
        <v>186</v>
      </c>
      <c r="D3" t="s">
        <v>26</v>
      </c>
      <c r="E3" t="s">
        <v>27</v>
      </c>
      <c r="F3">
        <v>2</v>
      </c>
      <c r="J3">
        <v>48</v>
      </c>
      <c r="K3" t="s">
        <v>134</v>
      </c>
      <c r="L3">
        <v>2025</v>
      </c>
      <c r="M3">
        <v>13693</v>
      </c>
      <c r="N3" t="s">
        <v>23</v>
      </c>
      <c r="O3">
        <v>0.154</v>
      </c>
      <c r="Q3" t="s">
        <v>29</v>
      </c>
      <c r="R3">
        <v>99.717359523184768</v>
      </c>
      <c r="S3" s="3" t="s">
        <v>30</v>
      </c>
      <c r="T3" s="4">
        <v>46007</v>
      </c>
      <c r="U3" s="3">
        <v>247.6</v>
      </c>
      <c r="V3" s="1" t="s">
        <v>31</v>
      </c>
      <c r="X3" s="4"/>
      <c r="Y3" s="2">
        <f t="shared" si="0"/>
        <v>0.15443650006014675</v>
      </c>
      <c r="Z3" t="s">
        <v>29</v>
      </c>
    </row>
    <row r="4" spans="1:26" x14ac:dyDescent="0.35">
      <c r="A4" t="s">
        <v>32</v>
      </c>
      <c r="B4" t="s">
        <v>25</v>
      </c>
      <c r="C4" t="s">
        <v>186</v>
      </c>
      <c r="D4" t="s">
        <v>26</v>
      </c>
      <c r="E4" t="s">
        <v>33</v>
      </c>
      <c r="F4">
        <v>1</v>
      </c>
      <c r="J4">
        <v>48</v>
      </c>
      <c r="K4" t="s">
        <v>34</v>
      </c>
      <c r="L4">
        <v>2025</v>
      </c>
      <c r="M4">
        <v>13694</v>
      </c>
      <c r="N4" t="s">
        <v>23</v>
      </c>
      <c r="O4">
        <v>0.17</v>
      </c>
      <c r="Q4" t="s">
        <v>29</v>
      </c>
      <c r="R4">
        <v>99.834305772598412</v>
      </c>
      <c r="S4" s="3" t="s">
        <v>30</v>
      </c>
      <c r="T4" s="4">
        <v>46007</v>
      </c>
      <c r="U4" s="3">
        <v>247.6</v>
      </c>
      <c r="V4" s="1" t="s">
        <v>31</v>
      </c>
      <c r="X4" s="4"/>
      <c r="Y4" s="2">
        <f t="shared" si="0"/>
        <v>0.17028214768901614</v>
      </c>
      <c r="Z4" t="s">
        <v>29</v>
      </c>
    </row>
    <row r="5" spans="1:26" x14ac:dyDescent="0.35">
      <c r="A5" t="s">
        <v>32</v>
      </c>
      <c r="B5" t="s">
        <v>25</v>
      </c>
      <c r="C5" t="s">
        <v>186</v>
      </c>
      <c r="D5" t="s">
        <v>26</v>
      </c>
      <c r="E5" t="s">
        <v>33</v>
      </c>
      <c r="F5">
        <v>2</v>
      </c>
      <c r="J5">
        <v>48</v>
      </c>
      <c r="K5" t="s">
        <v>135</v>
      </c>
      <c r="L5">
        <v>2025</v>
      </c>
      <c r="M5">
        <v>13695</v>
      </c>
      <c r="N5" t="s">
        <v>23</v>
      </c>
      <c r="O5">
        <v>0.13100000000000001</v>
      </c>
      <c r="Q5" t="s">
        <v>29</v>
      </c>
      <c r="R5">
        <v>99.845058499863953</v>
      </c>
      <c r="S5" s="3" t="s">
        <v>30</v>
      </c>
      <c r="T5" s="4">
        <v>46007</v>
      </c>
      <c r="U5" s="3">
        <v>247.6</v>
      </c>
      <c r="V5" s="1" t="s">
        <v>31</v>
      </c>
      <c r="X5" s="4"/>
      <c r="Y5" s="2">
        <f t="shared" si="0"/>
        <v>0.13120328834318676</v>
      </c>
      <c r="Z5" t="s">
        <v>29</v>
      </c>
    </row>
    <row r="6" spans="1:26" x14ac:dyDescent="0.35">
      <c r="A6" t="s">
        <v>35</v>
      </c>
      <c r="B6" t="s">
        <v>25</v>
      </c>
      <c r="C6" t="s">
        <v>186</v>
      </c>
      <c r="D6" t="s">
        <v>26</v>
      </c>
      <c r="E6" t="s">
        <v>36</v>
      </c>
      <c r="F6">
        <v>1</v>
      </c>
      <c r="J6">
        <v>48</v>
      </c>
      <c r="K6" t="s">
        <v>37</v>
      </c>
      <c r="L6">
        <v>2025</v>
      </c>
      <c r="M6">
        <v>13696</v>
      </c>
      <c r="N6" t="s">
        <v>23</v>
      </c>
      <c r="O6">
        <v>0.26</v>
      </c>
      <c r="Q6" t="s">
        <v>29</v>
      </c>
      <c r="R6">
        <v>99.786615968570729</v>
      </c>
      <c r="S6" s="3" t="s">
        <v>30</v>
      </c>
      <c r="T6" s="4">
        <v>46007</v>
      </c>
      <c r="U6" s="3">
        <v>252.68</v>
      </c>
      <c r="V6" s="1" t="s">
        <v>31</v>
      </c>
      <c r="X6" s="4"/>
      <c r="Y6" s="2">
        <f t="shared" si="0"/>
        <v>0.26055598486463438</v>
      </c>
      <c r="Z6" t="s">
        <v>29</v>
      </c>
    </row>
    <row r="7" spans="1:26" x14ac:dyDescent="0.35">
      <c r="A7" t="s">
        <v>35</v>
      </c>
      <c r="B7" t="s">
        <v>25</v>
      </c>
      <c r="C7" t="s">
        <v>186</v>
      </c>
      <c r="D7" t="s">
        <v>26</v>
      </c>
      <c r="E7" t="s">
        <v>36</v>
      </c>
      <c r="F7">
        <v>2</v>
      </c>
      <c r="J7">
        <v>48</v>
      </c>
      <c r="K7" t="s">
        <v>136</v>
      </c>
      <c r="L7">
        <v>2025</v>
      </c>
      <c r="M7">
        <v>13697</v>
      </c>
      <c r="N7" t="s">
        <v>23</v>
      </c>
      <c r="O7">
        <v>0.185</v>
      </c>
      <c r="Q7" t="s">
        <v>29</v>
      </c>
      <c r="R7">
        <v>99.73491027732463</v>
      </c>
      <c r="S7" s="3" t="s">
        <v>30</v>
      </c>
      <c r="T7" s="4">
        <v>46007</v>
      </c>
      <c r="U7" s="3">
        <v>252.68</v>
      </c>
      <c r="V7" s="1" t="s">
        <v>31</v>
      </c>
      <c r="X7" s="4"/>
      <c r="Y7" s="2">
        <f t="shared" si="0"/>
        <v>0.18549171948476795</v>
      </c>
      <c r="Z7" t="s">
        <v>29</v>
      </c>
    </row>
    <row r="8" spans="1:26" x14ac:dyDescent="0.35">
      <c r="A8" t="s">
        <v>38</v>
      </c>
      <c r="B8" t="s">
        <v>25</v>
      </c>
      <c r="C8" t="s">
        <v>187</v>
      </c>
      <c r="D8" t="s">
        <v>26</v>
      </c>
      <c r="E8" t="s">
        <v>27</v>
      </c>
      <c r="F8">
        <v>1</v>
      </c>
      <c r="J8">
        <v>48</v>
      </c>
      <c r="K8" t="s">
        <v>39</v>
      </c>
      <c r="L8">
        <v>2025</v>
      </c>
      <c r="M8">
        <v>13698</v>
      </c>
      <c r="N8" t="s">
        <v>23</v>
      </c>
      <c r="O8">
        <v>0.20399999999999999</v>
      </c>
      <c r="Q8" t="s">
        <v>29</v>
      </c>
      <c r="R8">
        <v>99.713308905821208</v>
      </c>
      <c r="S8" s="3" t="s">
        <v>30</v>
      </c>
      <c r="T8" s="4">
        <v>46007</v>
      </c>
      <c r="U8" s="3">
        <v>248.86</v>
      </c>
      <c r="V8" s="1" t="s">
        <v>31</v>
      </c>
      <c r="X8" s="4"/>
      <c r="Y8" s="2">
        <f t="shared" si="0"/>
        <v>0.20458653136531363</v>
      </c>
      <c r="Z8" t="s">
        <v>29</v>
      </c>
    </row>
    <row r="9" spans="1:26" x14ac:dyDescent="0.35">
      <c r="A9" t="s">
        <v>38</v>
      </c>
      <c r="B9" t="s">
        <v>25</v>
      </c>
      <c r="C9" t="s">
        <v>187</v>
      </c>
      <c r="D9" t="s">
        <v>26</v>
      </c>
      <c r="E9" t="s">
        <v>27</v>
      </c>
      <c r="F9">
        <v>2</v>
      </c>
      <c r="J9">
        <v>48</v>
      </c>
      <c r="K9" t="s">
        <v>137</v>
      </c>
      <c r="L9">
        <v>2025</v>
      </c>
      <c r="M9">
        <v>13699</v>
      </c>
      <c r="N9" t="s">
        <v>23</v>
      </c>
      <c r="O9">
        <v>0.11600000000000001</v>
      </c>
      <c r="Q9" t="s">
        <v>29</v>
      </c>
      <c r="R9">
        <v>99.796257168729255</v>
      </c>
      <c r="S9" s="3" t="s">
        <v>30</v>
      </c>
      <c r="T9" s="4">
        <v>46007</v>
      </c>
      <c r="U9" s="3">
        <v>248.86</v>
      </c>
      <c r="V9" s="1" t="s">
        <v>31</v>
      </c>
      <c r="X9" s="4"/>
      <c r="Y9" s="2">
        <f t="shared" si="0"/>
        <v>0.11623682419659737</v>
      </c>
      <c r="Z9" t="s">
        <v>29</v>
      </c>
    </row>
    <row r="10" spans="1:26" x14ac:dyDescent="0.35">
      <c r="A10" t="s">
        <v>40</v>
      </c>
      <c r="B10" t="s">
        <v>25</v>
      </c>
      <c r="C10" t="s">
        <v>187</v>
      </c>
      <c r="D10" t="s">
        <v>26</v>
      </c>
      <c r="E10" t="s">
        <v>33</v>
      </c>
      <c r="F10">
        <v>1</v>
      </c>
      <c r="J10">
        <v>48</v>
      </c>
      <c r="K10" t="s">
        <v>41</v>
      </c>
      <c r="L10">
        <v>2025</v>
      </c>
      <c r="M10">
        <v>13700</v>
      </c>
      <c r="N10" t="s">
        <v>23</v>
      </c>
      <c r="O10">
        <v>0.20799999999999999</v>
      </c>
      <c r="Q10" t="s">
        <v>29</v>
      </c>
      <c r="R10">
        <v>99.707716877090419</v>
      </c>
      <c r="S10" s="3" t="s">
        <v>30</v>
      </c>
      <c r="T10" s="4">
        <v>46007</v>
      </c>
      <c r="U10" s="3">
        <v>250.23</v>
      </c>
      <c r="V10" s="1" t="s">
        <v>31</v>
      </c>
      <c r="X10" s="4"/>
      <c r="Y10" s="2">
        <f t="shared" si="0"/>
        <v>0.20860973103656696</v>
      </c>
      <c r="Z10" t="s">
        <v>29</v>
      </c>
    </row>
    <row r="11" spans="1:26" x14ac:dyDescent="0.35">
      <c r="A11" t="s">
        <v>40</v>
      </c>
      <c r="B11" t="s">
        <v>25</v>
      </c>
      <c r="C11" t="s">
        <v>187</v>
      </c>
      <c r="D11" t="s">
        <v>26</v>
      </c>
      <c r="E11" t="s">
        <v>33</v>
      </c>
      <c r="F11">
        <v>2</v>
      </c>
      <c r="J11">
        <v>48</v>
      </c>
      <c r="K11" t="s">
        <v>138</v>
      </c>
      <c r="L11">
        <v>2025</v>
      </c>
      <c r="M11">
        <v>13701</v>
      </c>
      <c r="N11" t="s">
        <v>23</v>
      </c>
      <c r="O11">
        <v>0.153</v>
      </c>
      <c r="Q11" t="s">
        <v>29</v>
      </c>
      <c r="R11">
        <v>99.660295654770778</v>
      </c>
      <c r="S11" s="3" t="s">
        <v>30</v>
      </c>
      <c r="T11" s="4">
        <v>46007</v>
      </c>
      <c r="U11" s="3">
        <v>250.23</v>
      </c>
      <c r="V11" s="1" t="s">
        <v>31</v>
      </c>
      <c r="X11" s="4"/>
      <c r="Y11" s="2">
        <f t="shared" si="0"/>
        <v>0.15352151927182831</v>
      </c>
      <c r="Z11" t="s">
        <v>29</v>
      </c>
    </row>
    <row r="12" spans="1:26" x14ac:dyDescent="0.35">
      <c r="A12" t="s">
        <v>42</v>
      </c>
      <c r="B12" t="s">
        <v>25</v>
      </c>
      <c r="C12" t="s">
        <v>187</v>
      </c>
      <c r="D12" t="s">
        <v>26</v>
      </c>
      <c r="E12" t="s">
        <v>36</v>
      </c>
      <c r="F12">
        <v>1</v>
      </c>
      <c r="J12">
        <v>33</v>
      </c>
      <c r="K12" t="s">
        <v>43</v>
      </c>
      <c r="L12">
        <v>2025</v>
      </c>
      <c r="M12">
        <v>13702</v>
      </c>
      <c r="N12" t="s">
        <v>23</v>
      </c>
      <c r="O12">
        <v>0.215</v>
      </c>
      <c r="Q12" t="s">
        <v>29</v>
      </c>
      <c r="R12">
        <v>99.745848994495958</v>
      </c>
      <c r="S12" s="3" t="s">
        <v>30</v>
      </c>
      <c r="T12" s="4">
        <v>46007</v>
      </c>
      <c r="U12" s="3">
        <v>253.08</v>
      </c>
      <c r="V12" s="1" t="s">
        <v>31</v>
      </c>
      <c r="X12" s="4"/>
      <c r="Y12" s="2">
        <f t="shared" si="0"/>
        <v>0.21554781694410546</v>
      </c>
      <c r="Z12" t="s">
        <v>29</v>
      </c>
    </row>
    <row r="13" spans="1:26" x14ac:dyDescent="0.35">
      <c r="A13" t="s">
        <v>42</v>
      </c>
      <c r="B13" t="s">
        <v>25</v>
      </c>
      <c r="C13" t="s">
        <v>187</v>
      </c>
      <c r="D13" t="s">
        <v>26</v>
      </c>
      <c r="E13" t="s">
        <v>36</v>
      </c>
      <c r="F13">
        <v>2</v>
      </c>
      <c r="J13">
        <v>33</v>
      </c>
      <c r="K13" t="s">
        <v>139</v>
      </c>
      <c r="L13">
        <v>2025</v>
      </c>
      <c r="M13">
        <v>13703</v>
      </c>
      <c r="N13" t="s">
        <v>23</v>
      </c>
      <c r="O13">
        <v>0.13800000000000001</v>
      </c>
      <c r="Q13" t="s">
        <v>29</v>
      </c>
      <c r="R13">
        <v>99.762774696984735</v>
      </c>
      <c r="S13" s="3" t="s">
        <v>30</v>
      </c>
      <c r="T13" s="4">
        <v>46007</v>
      </c>
      <c r="U13" s="3">
        <v>253.08</v>
      </c>
      <c r="V13" s="1" t="s">
        <v>31</v>
      </c>
      <c r="X13" s="4"/>
      <c r="Y13" s="2">
        <f t="shared" si="0"/>
        <v>0.13832814937150195</v>
      </c>
      <c r="Z13" t="s">
        <v>29</v>
      </c>
    </row>
    <row r="14" spans="1:26" x14ac:dyDescent="0.35">
      <c r="A14" t="s">
        <v>44</v>
      </c>
      <c r="B14" t="s">
        <v>25</v>
      </c>
      <c r="C14" t="s">
        <v>188</v>
      </c>
      <c r="D14" t="s">
        <v>26</v>
      </c>
      <c r="E14" t="s">
        <v>27</v>
      </c>
      <c r="F14">
        <v>1</v>
      </c>
      <c r="J14">
        <v>33</v>
      </c>
      <c r="K14" t="s">
        <v>45</v>
      </c>
      <c r="L14">
        <v>2025</v>
      </c>
      <c r="M14">
        <v>13704</v>
      </c>
      <c r="N14" t="s">
        <v>23</v>
      </c>
      <c r="O14">
        <v>0.22900000000000001</v>
      </c>
      <c r="Q14" t="s">
        <v>29</v>
      </c>
      <c r="R14">
        <v>99.704517613868376</v>
      </c>
      <c r="S14" s="3" t="s">
        <v>30</v>
      </c>
      <c r="T14" s="4">
        <v>46007</v>
      </c>
      <c r="U14" s="3">
        <v>253.01</v>
      </c>
      <c r="V14" s="1" t="s">
        <v>31</v>
      </c>
      <c r="X14" s="4"/>
      <c r="Y14" s="2">
        <f t="shared" si="0"/>
        <v>0.22967865998495871</v>
      </c>
      <c r="Z14" t="s">
        <v>29</v>
      </c>
    </row>
    <row r="15" spans="1:26" x14ac:dyDescent="0.35">
      <c r="A15" t="s">
        <v>44</v>
      </c>
      <c r="B15" t="s">
        <v>25</v>
      </c>
      <c r="C15" t="s">
        <v>188</v>
      </c>
      <c r="D15" t="s">
        <v>26</v>
      </c>
      <c r="E15" t="s">
        <v>27</v>
      </c>
      <c r="F15">
        <v>2</v>
      </c>
      <c r="J15">
        <v>33</v>
      </c>
      <c r="K15" t="s">
        <v>140</v>
      </c>
      <c r="L15">
        <v>2025</v>
      </c>
      <c r="M15">
        <v>13705</v>
      </c>
      <c r="N15" t="s">
        <v>23</v>
      </c>
      <c r="O15">
        <v>0.14899999999999999</v>
      </c>
      <c r="Q15" t="s">
        <v>29</v>
      </c>
      <c r="R15">
        <v>99.702149212660913</v>
      </c>
      <c r="S15" s="3" t="s">
        <v>30</v>
      </c>
      <c r="T15" s="4">
        <v>46007</v>
      </c>
      <c r="U15" s="3">
        <v>253.01</v>
      </c>
      <c r="V15" s="1" t="s">
        <v>31</v>
      </c>
      <c r="X15" s="4"/>
      <c r="Y15" s="2">
        <f t="shared" si="0"/>
        <v>0.14944512347691585</v>
      </c>
      <c r="Z15" t="s">
        <v>29</v>
      </c>
    </row>
    <row r="16" spans="1:26" x14ac:dyDescent="0.35">
      <c r="A16" t="s">
        <v>46</v>
      </c>
      <c r="B16" t="s">
        <v>25</v>
      </c>
      <c r="C16" t="s">
        <v>188</v>
      </c>
      <c r="D16" t="s">
        <v>26</v>
      </c>
      <c r="E16" t="s">
        <v>33</v>
      </c>
      <c r="F16">
        <v>1</v>
      </c>
      <c r="J16">
        <v>33</v>
      </c>
      <c r="K16" t="s">
        <v>47</v>
      </c>
      <c r="L16">
        <v>2025</v>
      </c>
      <c r="M16">
        <v>13706</v>
      </c>
      <c r="N16" t="s">
        <v>23</v>
      </c>
      <c r="O16">
        <v>0.188</v>
      </c>
      <c r="Q16" t="s">
        <v>29</v>
      </c>
      <c r="R16">
        <v>99.739314770253216</v>
      </c>
      <c r="S16" s="3" t="s">
        <v>30</v>
      </c>
      <c r="T16" s="4">
        <v>46007</v>
      </c>
      <c r="U16" s="3">
        <v>247.1</v>
      </c>
      <c r="V16" s="1" t="s">
        <v>31</v>
      </c>
      <c r="X16" s="4"/>
      <c r="Y16" s="2">
        <f t="shared" si="0"/>
        <v>0.18849136915874434</v>
      </c>
      <c r="Z16" t="s">
        <v>29</v>
      </c>
    </row>
    <row r="17" spans="1:26" x14ac:dyDescent="0.35">
      <c r="A17" t="s">
        <v>46</v>
      </c>
      <c r="B17" t="s">
        <v>25</v>
      </c>
      <c r="C17" t="s">
        <v>188</v>
      </c>
      <c r="D17" t="s">
        <v>26</v>
      </c>
      <c r="E17" t="s">
        <v>33</v>
      </c>
      <c r="F17">
        <v>2</v>
      </c>
      <c r="J17">
        <v>33</v>
      </c>
      <c r="K17" t="s">
        <v>141</v>
      </c>
      <c r="L17">
        <v>2025</v>
      </c>
      <c r="M17">
        <v>13707</v>
      </c>
      <c r="N17" t="s">
        <v>23</v>
      </c>
      <c r="O17">
        <v>0.20300000000000001</v>
      </c>
      <c r="Q17" t="s">
        <v>29</v>
      </c>
      <c r="R17">
        <v>99.743604944126631</v>
      </c>
      <c r="S17" s="3" t="s">
        <v>30</v>
      </c>
      <c r="T17" s="4">
        <v>46007</v>
      </c>
      <c r="U17" s="3">
        <v>247.1</v>
      </c>
      <c r="V17" s="1" t="s">
        <v>31</v>
      </c>
      <c r="X17" s="4"/>
      <c r="Y17" s="2">
        <f t="shared" si="0"/>
        <v>0.20352181988380558</v>
      </c>
      <c r="Z17" t="s">
        <v>29</v>
      </c>
    </row>
    <row r="18" spans="1:26" x14ac:dyDescent="0.35">
      <c r="A18" t="s">
        <v>48</v>
      </c>
      <c r="B18" t="s">
        <v>25</v>
      </c>
      <c r="C18" t="s">
        <v>188</v>
      </c>
      <c r="D18" t="s">
        <v>26</v>
      </c>
      <c r="E18" t="s">
        <v>36</v>
      </c>
      <c r="F18">
        <v>1</v>
      </c>
      <c r="J18">
        <v>33</v>
      </c>
      <c r="K18" t="s">
        <v>49</v>
      </c>
      <c r="L18">
        <v>2025</v>
      </c>
      <c r="M18">
        <v>13708</v>
      </c>
      <c r="N18" t="s">
        <v>23</v>
      </c>
      <c r="O18">
        <v>0.26500000000000001</v>
      </c>
      <c r="Q18" t="s">
        <v>29</v>
      </c>
      <c r="R18">
        <v>99.644325127785109</v>
      </c>
      <c r="S18" s="3" t="s">
        <v>30</v>
      </c>
      <c r="T18" s="4">
        <v>46007</v>
      </c>
      <c r="U18" s="3">
        <v>247.26</v>
      </c>
      <c r="V18" s="1" t="s">
        <v>31</v>
      </c>
      <c r="X18" s="4"/>
      <c r="Y18" s="2">
        <f t="shared" si="0"/>
        <v>0.26594590274976598</v>
      </c>
      <c r="Z18" t="s">
        <v>29</v>
      </c>
    </row>
    <row r="19" spans="1:26" x14ac:dyDescent="0.35">
      <c r="A19" t="s">
        <v>48</v>
      </c>
      <c r="B19" t="s">
        <v>25</v>
      </c>
      <c r="C19" t="s">
        <v>188</v>
      </c>
      <c r="D19" t="s">
        <v>26</v>
      </c>
      <c r="E19" t="s">
        <v>36</v>
      </c>
      <c r="F19">
        <v>2</v>
      </c>
      <c r="J19">
        <v>33</v>
      </c>
      <c r="K19" t="s">
        <v>142</v>
      </c>
      <c r="L19">
        <v>2025</v>
      </c>
      <c r="M19">
        <v>13709</v>
      </c>
      <c r="N19" t="s">
        <v>23</v>
      </c>
      <c r="O19">
        <v>0.186</v>
      </c>
      <c r="Q19" t="s">
        <v>29</v>
      </c>
      <c r="R19">
        <v>99.684363034254389</v>
      </c>
      <c r="S19" s="3" t="s">
        <v>30</v>
      </c>
      <c r="T19" s="4">
        <v>46007</v>
      </c>
      <c r="U19" s="3">
        <v>247.26</v>
      </c>
      <c r="V19" s="1" t="s">
        <v>31</v>
      </c>
      <c r="X19" s="4"/>
      <c r="Y19" s="2">
        <f t="shared" si="0"/>
        <v>0.18658894368024914</v>
      </c>
      <c r="Z19" t="s">
        <v>29</v>
      </c>
    </row>
    <row r="20" spans="1:26" x14ac:dyDescent="0.35">
      <c r="A20" t="s">
        <v>50</v>
      </c>
      <c r="B20" t="s">
        <v>25</v>
      </c>
      <c r="C20" t="s">
        <v>189</v>
      </c>
      <c r="D20" t="s">
        <v>51</v>
      </c>
      <c r="E20" t="s">
        <v>27</v>
      </c>
      <c r="F20">
        <v>1</v>
      </c>
      <c r="J20">
        <v>48</v>
      </c>
      <c r="K20" t="s">
        <v>52</v>
      </c>
      <c r="L20">
        <v>2025</v>
      </c>
      <c r="M20">
        <v>13674</v>
      </c>
      <c r="N20" t="s">
        <v>23</v>
      </c>
      <c r="O20">
        <v>0.2</v>
      </c>
      <c r="Q20" t="s">
        <v>29</v>
      </c>
      <c r="R20">
        <v>99.673158754845375</v>
      </c>
      <c r="S20" s="3" t="s">
        <v>30</v>
      </c>
      <c r="T20" s="4">
        <v>46007</v>
      </c>
      <c r="U20" s="3">
        <v>247.81</v>
      </c>
      <c r="V20" s="1" t="s">
        <v>31</v>
      </c>
      <c r="X20" s="4"/>
      <c r="Y20" s="2">
        <f t="shared" si="0"/>
        <v>0.20065582600017426</v>
      </c>
      <c r="Z20" t="s">
        <v>29</v>
      </c>
    </row>
    <row r="21" spans="1:26" x14ac:dyDescent="0.35">
      <c r="A21" t="s">
        <v>50</v>
      </c>
      <c r="B21" t="s">
        <v>25</v>
      </c>
      <c r="C21" t="s">
        <v>189</v>
      </c>
      <c r="D21" t="s">
        <v>51</v>
      </c>
      <c r="E21" t="s">
        <v>27</v>
      </c>
      <c r="F21">
        <v>2</v>
      </c>
      <c r="J21">
        <v>48</v>
      </c>
      <c r="K21" t="s">
        <v>143</v>
      </c>
      <c r="L21">
        <v>2025</v>
      </c>
      <c r="M21">
        <v>13675</v>
      </c>
      <c r="N21" t="s">
        <v>23</v>
      </c>
      <c r="O21">
        <v>0.128</v>
      </c>
      <c r="Q21" t="s">
        <v>29</v>
      </c>
      <c r="R21">
        <v>99.829719829719821</v>
      </c>
      <c r="S21" s="3" t="s">
        <v>30</v>
      </c>
      <c r="T21" s="4">
        <v>46007</v>
      </c>
      <c r="U21" s="3">
        <v>247.81</v>
      </c>
      <c r="V21" s="1" t="s">
        <v>31</v>
      </c>
      <c r="X21" s="4"/>
      <c r="Y21" s="2">
        <f t="shared" si="0"/>
        <v>0.12821833039132075</v>
      </c>
      <c r="Z21" t="s">
        <v>29</v>
      </c>
    </row>
    <row r="22" spans="1:26" x14ac:dyDescent="0.35">
      <c r="A22" t="s">
        <v>53</v>
      </c>
      <c r="B22" t="s">
        <v>25</v>
      </c>
      <c r="C22" t="s">
        <v>189</v>
      </c>
      <c r="D22" t="s">
        <v>51</v>
      </c>
      <c r="E22" t="s">
        <v>33</v>
      </c>
      <c r="F22">
        <v>1</v>
      </c>
      <c r="J22">
        <v>48</v>
      </c>
      <c r="K22" t="s">
        <v>54</v>
      </c>
      <c r="L22">
        <v>2025</v>
      </c>
      <c r="M22">
        <v>13676</v>
      </c>
      <c r="N22" t="s">
        <v>23</v>
      </c>
      <c r="O22">
        <v>0.48299999999999998</v>
      </c>
      <c r="Q22" t="s">
        <v>29</v>
      </c>
      <c r="R22">
        <v>99.381660406102753</v>
      </c>
      <c r="S22" s="3" t="s">
        <v>30</v>
      </c>
      <c r="T22" s="4">
        <v>46007</v>
      </c>
      <c r="U22" s="3">
        <v>254.75</v>
      </c>
      <c r="V22" s="1" t="s">
        <v>31</v>
      </c>
      <c r="X22" s="4"/>
      <c r="Y22" s="2">
        <f t="shared" si="0"/>
        <v>0.48600516234717717</v>
      </c>
      <c r="Z22" t="s">
        <v>29</v>
      </c>
    </row>
    <row r="23" spans="1:26" x14ac:dyDescent="0.35">
      <c r="A23" t="s">
        <v>53</v>
      </c>
      <c r="B23" t="s">
        <v>25</v>
      </c>
      <c r="C23" t="s">
        <v>189</v>
      </c>
      <c r="D23" t="s">
        <v>51</v>
      </c>
      <c r="E23" t="s">
        <v>33</v>
      </c>
      <c r="F23">
        <v>2</v>
      </c>
      <c r="J23">
        <v>48</v>
      </c>
      <c r="K23" t="s">
        <v>144</v>
      </c>
      <c r="L23">
        <v>2025</v>
      </c>
      <c r="M23">
        <v>13677</v>
      </c>
      <c r="N23" t="s">
        <v>23</v>
      </c>
      <c r="O23">
        <v>0.17399999999999999</v>
      </c>
      <c r="Q23" t="s">
        <v>29</v>
      </c>
      <c r="R23">
        <v>99.751331350974837</v>
      </c>
      <c r="S23" s="3" t="s">
        <v>30</v>
      </c>
      <c r="T23" s="4">
        <v>46007</v>
      </c>
      <c r="U23" s="3">
        <v>254.75</v>
      </c>
      <c r="V23" s="1" t="s">
        <v>31</v>
      </c>
      <c r="X23" s="4"/>
      <c r="Y23" s="2">
        <f t="shared" si="0"/>
        <v>0.17443376207960712</v>
      </c>
      <c r="Z23" t="s">
        <v>29</v>
      </c>
    </row>
    <row r="24" spans="1:26" x14ac:dyDescent="0.35">
      <c r="A24" t="s">
        <v>55</v>
      </c>
      <c r="B24" t="s">
        <v>25</v>
      </c>
      <c r="C24" t="s">
        <v>189</v>
      </c>
      <c r="D24" t="s">
        <v>51</v>
      </c>
      <c r="E24" t="s">
        <v>36</v>
      </c>
      <c r="F24">
        <v>1</v>
      </c>
      <c r="J24">
        <v>48</v>
      </c>
      <c r="K24" t="s">
        <v>56</v>
      </c>
      <c r="L24">
        <v>2025</v>
      </c>
      <c r="M24">
        <v>13678</v>
      </c>
      <c r="N24" t="s">
        <v>23</v>
      </c>
      <c r="O24">
        <v>0.29099999999999998</v>
      </c>
      <c r="Q24" t="s">
        <v>29</v>
      </c>
      <c r="R24">
        <v>99.638684129216131</v>
      </c>
      <c r="S24" s="3" t="s">
        <v>30</v>
      </c>
      <c r="T24" s="4">
        <v>46007</v>
      </c>
      <c r="U24" s="3">
        <v>249.23</v>
      </c>
      <c r="V24" s="1" t="s">
        <v>31</v>
      </c>
      <c r="X24" s="4"/>
      <c r="Y24" s="2">
        <f t="shared" si="0"/>
        <v>0.29205524194058757</v>
      </c>
      <c r="Z24" t="s">
        <v>29</v>
      </c>
    </row>
    <row r="25" spans="1:26" x14ac:dyDescent="0.35">
      <c r="A25" t="s">
        <v>55</v>
      </c>
      <c r="B25" t="s">
        <v>25</v>
      </c>
      <c r="C25" t="s">
        <v>189</v>
      </c>
      <c r="D25" t="s">
        <v>51</v>
      </c>
      <c r="E25" t="s">
        <v>36</v>
      </c>
      <c r="F25">
        <v>2</v>
      </c>
      <c r="J25">
        <v>48</v>
      </c>
      <c r="K25" t="s">
        <v>145</v>
      </c>
      <c r="L25">
        <v>2025</v>
      </c>
      <c r="M25">
        <v>13679</v>
      </c>
      <c r="N25" t="s">
        <v>23</v>
      </c>
      <c r="O25">
        <v>0.14599999999999999</v>
      </c>
      <c r="Q25" t="s">
        <v>29</v>
      </c>
      <c r="R25">
        <v>99.764887403107892</v>
      </c>
      <c r="S25" s="3" t="s">
        <v>30</v>
      </c>
      <c r="T25" s="4">
        <v>46007</v>
      </c>
      <c r="U25" s="3">
        <v>249.23</v>
      </c>
      <c r="V25" s="1" t="s">
        <v>31</v>
      </c>
      <c r="X25" s="4"/>
      <c r="Y25" s="2">
        <f t="shared" si="0"/>
        <v>0.14634407335125382</v>
      </c>
      <c r="Z25" t="s">
        <v>29</v>
      </c>
    </row>
    <row r="26" spans="1:26" x14ac:dyDescent="0.35">
      <c r="A26" t="s">
        <v>57</v>
      </c>
      <c r="B26" t="s">
        <v>25</v>
      </c>
      <c r="C26" t="s">
        <v>190</v>
      </c>
      <c r="D26" t="s">
        <v>51</v>
      </c>
      <c r="E26" t="s">
        <v>27</v>
      </c>
      <c r="F26">
        <v>1</v>
      </c>
      <c r="J26">
        <v>48</v>
      </c>
      <c r="K26" t="s">
        <v>58</v>
      </c>
      <c r="L26">
        <v>2025</v>
      </c>
      <c r="M26">
        <v>13680</v>
      </c>
      <c r="N26" t="s">
        <v>23</v>
      </c>
      <c r="O26">
        <v>0.317</v>
      </c>
      <c r="Q26" t="s">
        <v>29</v>
      </c>
      <c r="R26">
        <v>99.517643321982334</v>
      </c>
      <c r="S26" s="3" t="s">
        <v>30</v>
      </c>
      <c r="T26" s="4">
        <v>46007</v>
      </c>
      <c r="U26" s="3">
        <v>250.46</v>
      </c>
      <c r="V26" s="1" t="s">
        <v>31</v>
      </c>
      <c r="X26" s="4"/>
      <c r="Y26" s="2">
        <f t="shared" si="0"/>
        <v>0.31853648199281487</v>
      </c>
      <c r="Z26" t="s">
        <v>29</v>
      </c>
    </row>
    <row r="27" spans="1:26" x14ac:dyDescent="0.35">
      <c r="A27" t="s">
        <v>57</v>
      </c>
      <c r="B27" t="s">
        <v>25</v>
      </c>
      <c r="C27" t="s">
        <v>190</v>
      </c>
      <c r="D27" t="s">
        <v>51</v>
      </c>
      <c r="E27" t="s">
        <v>27</v>
      </c>
      <c r="F27">
        <v>2</v>
      </c>
      <c r="J27">
        <v>48</v>
      </c>
      <c r="K27" t="s">
        <v>146</v>
      </c>
      <c r="L27">
        <v>2025</v>
      </c>
      <c r="M27">
        <v>13681</v>
      </c>
      <c r="N27" t="s">
        <v>23</v>
      </c>
      <c r="O27">
        <v>0.157</v>
      </c>
      <c r="Q27" t="s">
        <v>29</v>
      </c>
      <c r="R27">
        <v>99.342382349246705</v>
      </c>
      <c r="S27" s="3" t="s">
        <v>30</v>
      </c>
      <c r="T27" s="4">
        <v>46007</v>
      </c>
      <c r="U27" s="3">
        <v>250.46</v>
      </c>
      <c r="V27" s="1" t="s">
        <v>31</v>
      </c>
      <c r="X27" s="4"/>
      <c r="Y27" s="2">
        <f t="shared" si="0"/>
        <v>0.15803929429440594</v>
      </c>
      <c r="Z27" t="s">
        <v>29</v>
      </c>
    </row>
    <row r="28" spans="1:26" x14ac:dyDescent="0.35">
      <c r="A28" t="s">
        <v>59</v>
      </c>
      <c r="B28" t="s">
        <v>25</v>
      </c>
      <c r="C28" t="s">
        <v>190</v>
      </c>
      <c r="D28" t="s">
        <v>51</v>
      </c>
      <c r="E28" t="s">
        <v>33</v>
      </c>
      <c r="F28">
        <v>1</v>
      </c>
      <c r="J28">
        <v>48</v>
      </c>
      <c r="K28" t="s">
        <v>60</v>
      </c>
      <c r="L28">
        <v>2025</v>
      </c>
      <c r="M28">
        <v>13682</v>
      </c>
      <c r="N28" t="s">
        <v>23</v>
      </c>
      <c r="O28">
        <v>0.309</v>
      </c>
      <c r="Q28" t="s">
        <v>29</v>
      </c>
      <c r="R28">
        <v>99.25884215011871</v>
      </c>
      <c r="S28" s="3" t="s">
        <v>30</v>
      </c>
      <c r="T28" s="4">
        <v>46007</v>
      </c>
      <c r="U28" s="3">
        <v>248.28</v>
      </c>
      <c r="V28" s="1" t="s">
        <v>31</v>
      </c>
      <c r="X28" s="4"/>
      <c r="Y28" s="2">
        <f t="shared" si="0"/>
        <v>0.31130727833059901</v>
      </c>
      <c r="Z28" t="s">
        <v>29</v>
      </c>
    </row>
    <row r="29" spans="1:26" x14ac:dyDescent="0.35">
      <c r="A29" t="s">
        <v>59</v>
      </c>
      <c r="B29" t="s">
        <v>25</v>
      </c>
      <c r="C29" t="s">
        <v>190</v>
      </c>
      <c r="D29" t="s">
        <v>51</v>
      </c>
      <c r="E29" t="s">
        <v>33</v>
      </c>
      <c r="F29">
        <v>2</v>
      </c>
      <c r="J29">
        <v>48</v>
      </c>
      <c r="K29" t="s">
        <v>147</v>
      </c>
      <c r="L29">
        <v>2025</v>
      </c>
      <c r="M29">
        <v>13683</v>
      </c>
      <c r="N29" t="s">
        <v>23</v>
      </c>
      <c r="O29">
        <v>0.13500000000000001</v>
      </c>
      <c r="Q29" t="s">
        <v>29</v>
      </c>
      <c r="R29">
        <v>99.700620466344674</v>
      </c>
      <c r="S29" s="3" t="s">
        <v>30</v>
      </c>
      <c r="T29" s="4">
        <v>46007</v>
      </c>
      <c r="U29" s="3">
        <v>248.28</v>
      </c>
      <c r="V29" s="1" t="s">
        <v>31</v>
      </c>
      <c r="X29" s="4"/>
      <c r="Y29" s="2">
        <f t="shared" si="0"/>
        <v>0.13540537598316263</v>
      </c>
      <c r="Z29" t="s">
        <v>29</v>
      </c>
    </row>
    <row r="30" spans="1:26" x14ac:dyDescent="0.35">
      <c r="A30" t="s">
        <v>61</v>
      </c>
      <c r="B30" t="s">
        <v>25</v>
      </c>
      <c r="C30" t="s">
        <v>190</v>
      </c>
      <c r="D30" t="s">
        <v>51</v>
      </c>
      <c r="E30" t="s">
        <v>36</v>
      </c>
      <c r="F30">
        <v>1</v>
      </c>
      <c r="J30">
        <v>48</v>
      </c>
      <c r="K30" t="s">
        <v>62</v>
      </c>
      <c r="L30">
        <v>2025</v>
      </c>
      <c r="M30">
        <v>13684</v>
      </c>
      <c r="N30" t="s">
        <v>23</v>
      </c>
      <c r="O30">
        <v>0.20599999999999999</v>
      </c>
      <c r="Q30" t="s">
        <v>29</v>
      </c>
      <c r="R30">
        <v>99.698029243483788</v>
      </c>
      <c r="S30" s="3" t="s">
        <v>30</v>
      </c>
      <c r="T30" s="4">
        <v>46007</v>
      </c>
      <c r="U30" s="3">
        <v>248.08</v>
      </c>
      <c r="V30" s="1" t="s">
        <v>31</v>
      </c>
      <c r="W30" t="s">
        <v>63</v>
      </c>
      <c r="X30" s="4"/>
      <c r="Y30" s="2">
        <f t="shared" si="0"/>
        <v>0.20662394388649766</v>
      </c>
      <c r="Z30" t="s">
        <v>29</v>
      </c>
    </row>
    <row r="31" spans="1:26" x14ac:dyDescent="0.35">
      <c r="A31" t="s">
        <v>61</v>
      </c>
      <c r="B31" t="s">
        <v>25</v>
      </c>
      <c r="C31" t="s">
        <v>190</v>
      </c>
      <c r="D31" t="s">
        <v>51</v>
      </c>
      <c r="E31" t="s">
        <v>36</v>
      </c>
      <c r="F31">
        <v>2</v>
      </c>
      <c r="J31">
        <v>48</v>
      </c>
      <c r="K31" t="s">
        <v>148</v>
      </c>
      <c r="L31">
        <v>2025</v>
      </c>
      <c r="M31">
        <v>13685</v>
      </c>
      <c r="N31" t="s">
        <v>23</v>
      </c>
      <c r="O31">
        <v>0.15</v>
      </c>
      <c r="Q31" t="s">
        <v>29</v>
      </c>
      <c r="R31">
        <v>99.629958555358201</v>
      </c>
      <c r="S31" s="3" t="s">
        <v>30</v>
      </c>
      <c r="T31" s="4">
        <v>46007</v>
      </c>
      <c r="U31" s="3">
        <v>248.08</v>
      </c>
      <c r="V31" s="1" t="s">
        <v>31</v>
      </c>
      <c r="X31" s="4"/>
      <c r="Y31" s="2">
        <f t="shared" si="0"/>
        <v>0.15055712375575694</v>
      </c>
      <c r="Z31" t="s">
        <v>29</v>
      </c>
    </row>
    <row r="32" spans="1:26" x14ac:dyDescent="0.35">
      <c r="A32" t="s">
        <v>64</v>
      </c>
      <c r="B32" t="s">
        <v>25</v>
      </c>
      <c r="C32" t="s">
        <v>191</v>
      </c>
      <c r="D32" t="s">
        <v>51</v>
      </c>
      <c r="E32" t="s">
        <v>27</v>
      </c>
      <c r="F32">
        <v>1</v>
      </c>
      <c r="J32">
        <v>48</v>
      </c>
      <c r="K32" t="s">
        <v>65</v>
      </c>
      <c r="L32">
        <v>2025</v>
      </c>
      <c r="M32">
        <v>13686</v>
      </c>
      <c r="N32" t="s">
        <v>23</v>
      </c>
      <c r="O32">
        <v>0.58099999999999996</v>
      </c>
      <c r="Q32" t="s">
        <v>29</v>
      </c>
      <c r="R32">
        <v>98.754920952321427</v>
      </c>
      <c r="S32" s="3" t="s">
        <v>30</v>
      </c>
      <c r="T32" s="4">
        <v>46007</v>
      </c>
      <c r="U32" s="3">
        <v>249.19</v>
      </c>
      <c r="V32" s="1" t="s">
        <v>31</v>
      </c>
      <c r="X32" s="4"/>
      <c r="Y32" s="2">
        <f t="shared" si="0"/>
        <v>0.58832511271059085</v>
      </c>
      <c r="Z32" t="s">
        <v>29</v>
      </c>
    </row>
    <row r="33" spans="1:27" x14ac:dyDescent="0.35">
      <c r="A33" t="s">
        <v>64</v>
      </c>
      <c r="B33" t="s">
        <v>25</v>
      </c>
      <c r="C33" t="s">
        <v>191</v>
      </c>
      <c r="D33" t="s">
        <v>51</v>
      </c>
      <c r="E33" t="s">
        <v>27</v>
      </c>
      <c r="F33">
        <v>2</v>
      </c>
      <c r="J33">
        <v>48</v>
      </c>
      <c r="K33" t="s">
        <v>149</v>
      </c>
      <c r="L33">
        <v>2025</v>
      </c>
      <c r="M33">
        <v>13687</v>
      </c>
      <c r="N33" t="s">
        <v>23</v>
      </c>
      <c r="O33">
        <v>0.20699999999999999</v>
      </c>
      <c r="Q33" t="s">
        <v>29</v>
      </c>
      <c r="R33">
        <v>99.603349170039294</v>
      </c>
      <c r="S33" s="3" t="s">
        <v>30</v>
      </c>
      <c r="T33" s="4">
        <v>46007</v>
      </c>
      <c r="U33" s="3">
        <v>249.19</v>
      </c>
      <c r="V33" s="1" t="s">
        <v>31</v>
      </c>
      <c r="X33" s="4"/>
      <c r="Y33" s="2">
        <f t="shared" si="0"/>
        <v>0.20782433695740185</v>
      </c>
      <c r="Z33" t="s">
        <v>29</v>
      </c>
    </row>
    <row r="34" spans="1:27" x14ac:dyDescent="0.35">
      <c r="A34" t="s">
        <v>66</v>
      </c>
      <c r="B34" t="s">
        <v>25</v>
      </c>
      <c r="C34" t="s">
        <v>191</v>
      </c>
      <c r="D34" t="s">
        <v>51</v>
      </c>
      <c r="E34" t="s">
        <v>33</v>
      </c>
      <c r="F34">
        <v>1</v>
      </c>
      <c r="J34">
        <v>48</v>
      </c>
      <c r="K34" t="s">
        <v>67</v>
      </c>
      <c r="L34">
        <v>2025</v>
      </c>
      <c r="M34">
        <v>13688</v>
      </c>
      <c r="N34" t="s">
        <v>23</v>
      </c>
      <c r="O34">
        <v>0.42</v>
      </c>
      <c r="Q34" t="s">
        <v>29</v>
      </c>
      <c r="R34">
        <v>98.3187358363447</v>
      </c>
      <c r="S34" s="3" t="s">
        <v>30</v>
      </c>
      <c r="T34" s="4">
        <v>46007</v>
      </c>
      <c r="U34" s="3">
        <v>252.9</v>
      </c>
      <c r="V34" s="1" t="s">
        <v>31</v>
      </c>
      <c r="X34" s="4"/>
      <c r="Y34" s="2">
        <f t="shared" ref="Y34:Y65" si="1">(O34*100)/R34</f>
        <v>0.42718205886933502</v>
      </c>
      <c r="Z34" t="s">
        <v>29</v>
      </c>
    </row>
    <row r="35" spans="1:27" x14ac:dyDescent="0.35">
      <c r="A35" t="s">
        <v>66</v>
      </c>
      <c r="B35" t="s">
        <v>25</v>
      </c>
      <c r="C35" t="s">
        <v>191</v>
      </c>
      <c r="D35" t="s">
        <v>51</v>
      </c>
      <c r="E35" t="s">
        <v>33</v>
      </c>
      <c r="F35">
        <v>2</v>
      </c>
      <c r="J35">
        <v>48</v>
      </c>
      <c r="K35" t="s">
        <v>150</v>
      </c>
      <c r="L35">
        <v>2025</v>
      </c>
      <c r="M35">
        <v>13689</v>
      </c>
      <c r="N35" t="s">
        <v>23</v>
      </c>
      <c r="O35">
        <v>0.218</v>
      </c>
      <c r="Q35" t="s">
        <v>29</v>
      </c>
      <c r="R35">
        <v>99.010216387176058</v>
      </c>
      <c r="S35" s="3" t="s">
        <v>30</v>
      </c>
      <c r="T35" s="4">
        <v>46007</v>
      </c>
      <c r="U35" s="3">
        <v>252.9</v>
      </c>
      <c r="V35" s="1" t="s">
        <v>31</v>
      </c>
      <c r="X35" s="4"/>
      <c r="Y35" s="2">
        <f t="shared" si="1"/>
        <v>0.22017929861653718</v>
      </c>
      <c r="Z35" t="s">
        <v>29</v>
      </c>
    </row>
    <row r="36" spans="1:27" x14ac:dyDescent="0.35">
      <c r="A36" t="s">
        <v>68</v>
      </c>
      <c r="B36" t="s">
        <v>25</v>
      </c>
      <c r="C36" t="s">
        <v>191</v>
      </c>
      <c r="D36" t="s">
        <v>51</v>
      </c>
      <c r="E36" t="s">
        <v>36</v>
      </c>
      <c r="F36">
        <v>1</v>
      </c>
      <c r="J36">
        <v>48</v>
      </c>
      <c r="K36" t="s">
        <v>69</v>
      </c>
      <c r="L36">
        <v>2025</v>
      </c>
      <c r="M36">
        <v>13690</v>
      </c>
      <c r="N36" t="s">
        <v>23</v>
      </c>
      <c r="O36">
        <v>0.46200000000000002</v>
      </c>
      <c r="Q36" t="s">
        <v>29</v>
      </c>
      <c r="R36">
        <v>98.051026613767334</v>
      </c>
      <c r="S36" s="3" t="s">
        <v>30</v>
      </c>
      <c r="T36" s="4">
        <v>46007</v>
      </c>
      <c r="U36" s="3">
        <v>254.03</v>
      </c>
      <c r="V36" s="1" t="s">
        <v>31</v>
      </c>
      <c r="X36" s="4"/>
      <c r="Y36" s="2">
        <f t="shared" si="1"/>
        <v>0.47118323586744643</v>
      </c>
      <c r="Z36" t="s">
        <v>29</v>
      </c>
    </row>
    <row r="37" spans="1:27" x14ac:dyDescent="0.35">
      <c r="A37" t="s">
        <v>68</v>
      </c>
      <c r="B37" t="s">
        <v>25</v>
      </c>
      <c r="C37" t="s">
        <v>191</v>
      </c>
      <c r="D37" t="s">
        <v>51</v>
      </c>
      <c r="E37" t="s">
        <v>36</v>
      </c>
      <c r="F37">
        <v>2</v>
      </c>
      <c r="J37">
        <v>48</v>
      </c>
      <c r="K37" t="s">
        <v>151</v>
      </c>
      <c r="L37">
        <v>2025</v>
      </c>
      <c r="M37">
        <v>13691</v>
      </c>
      <c r="N37" t="s">
        <v>23</v>
      </c>
      <c r="O37">
        <v>0.21099999999999999</v>
      </c>
      <c r="Q37" t="s">
        <v>29</v>
      </c>
      <c r="R37">
        <v>98.761476555710871</v>
      </c>
      <c r="S37" s="3" t="s">
        <v>30</v>
      </c>
      <c r="T37" s="4">
        <v>46007</v>
      </c>
      <c r="U37" s="3">
        <v>254.03</v>
      </c>
      <c r="V37" s="1" t="s">
        <v>31</v>
      </c>
      <c r="X37" s="4"/>
      <c r="Y37" s="2">
        <f t="shared" si="1"/>
        <v>0.21364605649752097</v>
      </c>
      <c r="Z37" t="s">
        <v>29</v>
      </c>
    </row>
    <row r="38" spans="1:27" x14ac:dyDescent="0.35">
      <c r="A38" t="s">
        <v>70</v>
      </c>
      <c r="B38" t="s">
        <v>71</v>
      </c>
      <c r="C38" t="s">
        <v>192</v>
      </c>
      <c r="D38" t="s">
        <v>51</v>
      </c>
      <c r="E38" t="s">
        <v>27</v>
      </c>
      <c r="F38">
        <v>1</v>
      </c>
      <c r="J38">
        <v>48</v>
      </c>
      <c r="K38" t="s">
        <v>72</v>
      </c>
      <c r="L38">
        <v>2025</v>
      </c>
      <c r="M38">
        <v>13638</v>
      </c>
      <c r="N38" t="s">
        <v>23</v>
      </c>
      <c r="O38">
        <v>0.34</v>
      </c>
      <c r="Q38" t="s">
        <v>29</v>
      </c>
      <c r="R38">
        <v>99.51093530839276</v>
      </c>
      <c r="S38" s="3" t="s">
        <v>30</v>
      </c>
      <c r="T38" s="4">
        <v>46006</v>
      </c>
      <c r="U38" s="3">
        <v>245.58</v>
      </c>
      <c r="V38" s="1" t="s">
        <v>31</v>
      </c>
      <c r="X38" s="4"/>
      <c r="Y38" s="2">
        <f t="shared" si="1"/>
        <v>0.34167099218423724</v>
      </c>
      <c r="Z38" t="s">
        <v>29</v>
      </c>
    </row>
    <row r="39" spans="1:27" x14ac:dyDescent="0.35">
      <c r="A39" t="s">
        <v>70</v>
      </c>
      <c r="B39" t="s">
        <v>71</v>
      </c>
      <c r="C39" t="s">
        <v>192</v>
      </c>
      <c r="D39" t="s">
        <v>51</v>
      </c>
      <c r="E39" t="s">
        <v>27</v>
      </c>
      <c r="F39">
        <v>2</v>
      </c>
      <c r="J39">
        <v>48</v>
      </c>
      <c r="K39" t="s">
        <v>152</v>
      </c>
      <c r="L39">
        <v>2025</v>
      </c>
      <c r="M39">
        <v>13639</v>
      </c>
      <c r="N39" t="s">
        <v>23</v>
      </c>
      <c r="O39">
        <v>0.84699999999999998</v>
      </c>
      <c r="Q39" t="s">
        <v>29</v>
      </c>
      <c r="R39">
        <v>98.827317350336969</v>
      </c>
      <c r="S39" s="3" t="s">
        <v>30</v>
      </c>
      <c r="T39" s="4">
        <v>46006</v>
      </c>
      <c r="U39" s="3">
        <v>245.58</v>
      </c>
      <c r="V39" s="1" t="s">
        <v>31</v>
      </c>
      <c r="X39" s="4"/>
      <c r="Y39" s="2">
        <f t="shared" si="1"/>
        <v>0.85705048230484226</v>
      </c>
      <c r="Z39" t="s">
        <v>29</v>
      </c>
      <c r="AA39" t="s">
        <v>184</v>
      </c>
    </row>
    <row r="40" spans="1:27" x14ac:dyDescent="0.35">
      <c r="A40" t="s">
        <v>73</v>
      </c>
      <c r="B40" t="s">
        <v>71</v>
      </c>
      <c r="C40" t="s">
        <v>192</v>
      </c>
      <c r="D40" t="s">
        <v>51</v>
      </c>
      <c r="E40" t="s">
        <v>33</v>
      </c>
      <c r="F40">
        <v>1</v>
      </c>
      <c r="J40">
        <v>48</v>
      </c>
      <c r="K40" t="s">
        <v>74</v>
      </c>
      <c r="L40">
        <v>2025</v>
      </c>
      <c r="M40">
        <v>13640</v>
      </c>
      <c r="N40" t="s">
        <v>23</v>
      </c>
      <c r="O40">
        <v>0.34100000000000003</v>
      </c>
      <c r="Q40" t="s">
        <v>29</v>
      </c>
      <c r="R40">
        <v>98.867295352163296</v>
      </c>
      <c r="S40" s="3" t="s">
        <v>30</v>
      </c>
      <c r="T40" s="4">
        <v>46006</v>
      </c>
      <c r="U40" s="3">
        <v>246.79</v>
      </c>
      <c r="V40" s="1" t="s">
        <v>31</v>
      </c>
      <c r="X40" s="4"/>
      <c r="Y40" s="2">
        <f t="shared" si="1"/>
        <v>0.34490677507194362</v>
      </c>
      <c r="Z40" t="s">
        <v>29</v>
      </c>
    </row>
    <row r="41" spans="1:27" x14ac:dyDescent="0.35">
      <c r="A41" t="s">
        <v>73</v>
      </c>
      <c r="B41" t="s">
        <v>71</v>
      </c>
      <c r="C41" t="s">
        <v>192</v>
      </c>
      <c r="D41" t="s">
        <v>51</v>
      </c>
      <c r="E41" t="s">
        <v>33</v>
      </c>
      <c r="F41">
        <v>2</v>
      </c>
      <c r="J41">
        <v>48</v>
      </c>
      <c r="K41" t="s">
        <v>153</v>
      </c>
      <c r="L41">
        <v>2025</v>
      </c>
      <c r="M41">
        <v>13641</v>
      </c>
      <c r="N41" t="s">
        <v>23</v>
      </c>
      <c r="O41">
        <v>0.313</v>
      </c>
      <c r="Q41" t="s">
        <v>29</v>
      </c>
      <c r="R41">
        <v>98.828257321467063</v>
      </c>
      <c r="S41" s="3" t="s">
        <v>30</v>
      </c>
      <c r="T41" s="4">
        <v>46006</v>
      </c>
      <c r="U41" s="3">
        <v>246.79</v>
      </c>
      <c r="V41" s="1" t="s">
        <v>31</v>
      </c>
      <c r="X41" s="4"/>
      <c r="Y41" s="2">
        <f t="shared" si="1"/>
        <v>0.31671103840461168</v>
      </c>
      <c r="Z41" t="s">
        <v>29</v>
      </c>
    </row>
    <row r="42" spans="1:27" x14ac:dyDescent="0.35">
      <c r="A42" t="s">
        <v>75</v>
      </c>
      <c r="B42" t="s">
        <v>71</v>
      </c>
      <c r="C42" t="s">
        <v>192</v>
      </c>
      <c r="D42" t="s">
        <v>51</v>
      </c>
      <c r="E42" t="s">
        <v>36</v>
      </c>
      <c r="F42">
        <v>1</v>
      </c>
      <c r="J42">
        <v>48</v>
      </c>
      <c r="K42" t="s">
        <v>76</v>
      </c>
      <c r="L42">
        <v>2025</v>
      </c>
      <c r="M42">
        <v>13642</v>
      </c>
      <c r="N42" t="s">
        <v>23</v>
      </c>
      <c r="O42">
        <v>0.52400000000000002</v>
      </c>
      <c r="Q42" t="s">
        <v>29</v>
      </c>
      <c r="R42">
        <v>98.386346123034429</v>
      </c>
      <c r="S42" s="3" t="s">
        <v>30</v>
      </c>
      <c r="T42" s="4">
        <v>46006</v>
      </c>
      <c r="U42" s="3">
        <v>248.51</v>
      </c>
      <c r="V42" s="1" t="s">
        <v>31</v>
      </c>
      <c r="X42" s="4"/>
      <c r="Y42" s="2">
        <f t="shared" si="1"/>
        <v>0.53259422739891749</v>
      </c>
      <c r="Z42" t="s">
        <v>29</v>
      </c>
    </row>
    <row r="43" spans="1:27" x14ac:dyDescent="0.35">
      <c r="A43" t="s">
        <v>75</v>
      </c>
      <c r="B43" t="s">
        <v>71</v>
      </c>
      <c r="C43" t="s">
        <v>192</v>
      </c>
      <c r="D43" t="s">
        <v>51</v>
      </c>
      <c r="E43" t="s">
        <v>36</v>
      </c>
      <c r="F43">
        <v>2</v>
      </c>
      <c r="J43">
        <v>48</v>
      </c>
      <c r="K43" t="s">
        <v>154</v>
      </c>
      <c r="L43">
        <v>2025</v>
      </c>
      <c r="M43">
        <v>13643</v>
      </c>
      <c r="N43" t="s">
        <v>23</v>
      </c>
      <c r="O43">
        <v>0.24</v>
      </c>
      <c r="Q43" t="s">
        <v>29</v>
      </c>
      <c r="R43">
        <v>99.519466073414904</v>
      </c>
      <c r="S43" s="3" t="s">
        <v>30</v>
      </c>
      <c r="T43" s="4">
        <v>46006</v>
      </c>
      <c r="U43" s="3">
        <v>248.51</v>
      </c>
      <c r="V43" s="1" t="s">
        <v>31</v>
      </c>
      <c r="X43" s="4"/>
      <c r="Y43" s="2">
        <f t="shared" si="1"/>
        <v>0.24115885009165289</v>
      </c>
      <c r="Z43" t="s">
        <v>29</v>
      </c>
    </row>
    <row r="44" spans="1:27" x14ac:dyDescent="0.35">
      <c r="A44" t="s">
        <v>77</v>
      </c>
      <c r="B44" t="s">
        <v>71</v>
      </c>
      <c r="C44" t="s">
        <v>193</v>
      </c>
      <c r="D44" t="s">
        <v>51</v>
      </c>
      <c r="E44" t="s">
        <v>27</v>
      </c>
      <c r="F44">
        <v>1</v>
      </c>
      <c r="J44">
        <v>48</v>
      </c>
      <c r="K44" t="s">
        <v>78</v>
      </c>
      <c r="L44">
        <v>2025</v>
      </c>
      <c r="M44">
        <v>13644</v>
      </c>
      <c r="N44" t="s">
        <v>23</v>
      </c>
      <c r="O44">
        <v>0.66700000000000004</v>
      </c>
      <c r="Q44" t="s">
        <v>29</v>
      </c>
      <c r="R44">
        <v>99.000252809634347</v>
      </c>
      <c r="S44" s="3" t="s">
        <v>30</v>
      </c>
      <c r="T44" s="4">
        <v>46006</v>
      </c>
      <c r="U44" s="3">
        <v>254.05</v>
      </c>
      <c r="V44" s="1" t="s">
        <v>31</v>
      </c>
      <c r="X44" s="4"/>
      <c r="Y44" s="2">
        <f t="shared" si="1"/>
        <v>0.67373565326399854</v>
      </c>
      <c r="Z44" t="s">
        <v>29</v>
      </c>
    </row>
    <row r="45" spans="1:27" x14ac:dyDescent="0.35">
      <c r="A45" t="s">
        <v>77</v>
      </c>
      <c r="B45" t="s">
        <v>71</v>
      </c>
      <c r="C45" t="s">
        <v>193</v>
      </c>
      <c r="D45" t="s">
        <v>51</v>
      </c>
      <c r="E45" t="s">
        <v>27</v>
      </c>
      <c r="F45">
        <v>2</v>
      </c>
      <c r="J45">
        <v>48</v>
      </c>
      <c r="K45" t="s">
        <v>155</v>
      </c>
      <c r="L45">
        <v>2025</v>
      </c>
      <c r="M45">
        <v>13645</v>
      </c>
      <c r="N45" t="s">
        <v>23</v>
      </c>
      <c r="O45">
        <v>0.25900000000000001</v>
      </c>
      <c r="Q45" t="s">
        <v>29</v>
      </c>
      <c r="R45">
        <v>99.377658383702709</v>
      </c>
      <c r="S45" s="3" t="s">
        <v>30</v>
      </c>
      <c r="T45" s="4">
        <v>46006</v>
      </c>
      <c r="U45" s="3">
        <v>254.05</v>
      </c>
      <c r="V45" s="1" t="s">
        <v>31</v>
      </c>
      <c r="X45" s="4"/>
      <c r="Y45" s="2">
        <f t="shared" si="1"/>
        <v>0.26062195891151563</v>
      </c>
      <c r="Z45" t="s">
        <v>29</v>
      </c>
    </row>
    <row r="46" spans="1:27" x14ac:dyDescent="0.35">
      <c r="A46" t="s">
        <v>79</v>
      </c>
      <c r="B46" t="s">
        <v>71</v>
      </c>
      <c r="C46" t="s">
        <v>193</v>
      </c>
      <c r="D46" t="s">
        <v>51</v>
      </c>
      <c r="E46" t="s">
        <v>33</v>
      </c>
      <c r="F46">
        <v>1</v>
      </c>
      <c r="J46">
        <v>48</v>
      </c>
      <c r="K46" t="s">
        <v>80</v>
      </c>
      <c r="L46">
        <v>2025</v>
      </c>
      <c r="M46">
        <v>13646</v>
      </c>
      <c r="N46" t="s">
        <v>23</v>
      </c>
      <c r="O46">
        <v>0.61299999999999999</v>
      </c>
      <c r="Q46" t="s">
        <v>29</v>
      </c>
      <c r="R46">
        <v>99.065351509106364</v>
      </c>
      <c r="S46" s="3" t="s">
        <v>30</v>
      </c>
      <c r="T46" s="4">
        <v>46006</v>
      </c>
      <c r="U46" s="3">
        <v>252.22</v>
      </c>
      <c r="V46" s="1" t="s">
        <v>31</v>
      </c>
      <c r="X46" s="4"/>
      <c r="Y46" s="2">
        <f t="shared" si="1"/>
        <v>0.6187834501789975</v>
      </c>
      <c r="Z46" t="s">
        <v>29</v>
      </c>
    </row>
    <row r="47" spans="1:27" x14ac:dyDescent="0.35">
      <c r="A47" t="s">
        <v>79</v>
      </c>
      <c r="B47" t="s">
        <v>71</v>
      </c>
      <c r="C47" t="s">
        <v>193</v>
      </c>
      <c r="D47" t="s">
        <v>51</v>
      </c>
      <c r="E47" t="s">
        <v>33</v>
      </c>
      <c r="F47">
        <v>2</v>
      </c>
      <c r="J47">
        <v>48</v>
      </c>
      <c r="K47" t="s">
        <v>156</v>
      </c>
      <c r="L47">
        <v>2025</v>
      </c>
      <c r="M47">
        <v>13647</v>
      </c>
      <c r="N47" t="s">
        <v>23</v>
      </c>
      <c r="O47">
        <v>0.254</v>
      </c>
      <c r="Q47" t="s">
        <v>29</v>
      </c>
      <c r="R47">
        <v>99.405788064409634</v>
      </c>
      <c r="S47" s="3" t="s">
        <v>30</v>
      </c>
      <c r="T47" s="4">
        <v>46006</v>
      </c>
      <c r="U47" s="3">
        <v>252.22</v>
      </c>
      <c r="V47" s="1" t="s">
        <v>31</v>
      </c>
      <c r="X47" s="4"/>
      <c r="Y47" s="2">
        <f t="shared" si="1"/>
        <v>0.25551832035718242</v>
      </c>
      <c r="Z47" t="s">
        <v>29</v>
      </c>
    </row>
    <row r="48" spans="1:27" x14ac:dyDescent="0.35">
      <c r="A48" t="s">
        <v>81</v>
      </c>
      <c r="B48" t="s">
        <v>71</v>
      </c>
      <c r="C48" t="s">
        <v>193</v>
      </c>
      <c r="D48" t="s">
        <v>51</v>
      </c>
      <c r="E48" t="s">
        <v>36</v>
      </c>
      <c r="F48">
        <v>1</v>
      </c>
      <c r="J48">
        <v>48</v>
      </c>
      <c r="K48" t="s">
        <v>82</v>
      </c>
      <c r="L48">
        <v>2025</v>
      </c>
      <c r="M48">
        <v>13648</v>
      </c>
      <c r="N48" t="s">
        <v>23</v>
      </c>
      <c r="O48">
        <v>0.36099999999999999</v>
      </c>
      <c r="Q48" t="s">
        <v>29</v>
      </c>
      <c r="R48">
        <v>99.28128013500482</v>
      </c>
      <c r="S48" s="3" t="s">
        <v>30</v>
      </c>
      <c r="T48" s="4">
        <v>46006</v>
      </c>
      <c r="U48" s="3">
        <v>253.21</v>
      </c>
      <c r="V48" s="1" t="s">
        <v>31</v>
      </c>
      <c r="X48" s="4"/>
      <c r="Y48" s="2">
        <f t="shared" si="1"/>
        <v>0.36361336146059403</v>
      </c>
      <c r="Z48" t="s">
        <v>29</v>
      </c>
    </row>
    <row r="49" spans="1:26" x14ac:dyDescent="0.35">
      <c r="A49" t="s">
        <v>81</v>
      </c>
      <c r="B49" t="s">
        <v>71</v>
      </c>
      <c r="C49" t="s">
        <v>193</v>
      </c>
      <c r="D49" t="s">
        <v>51</v>
      </c>
      <c r="E49" t="s">
        <v>36</v>
      </c>
      <c r="F49">
        <v>2</v>
      </c>
      <c r="J49">
        <v>48</v>
      </c>
      <c r="K49" t="s">
        <v>157</v>
      </c>
      <c r="L49">
        <v>2025</v>
      </c>
      <c r="M49">
        <v>13649</v>
      </c>
      <c r="N49" t="s">
        <v>23</v>
      </c>
      <c r="O49">
        <v>0.28299999999999997</v>
      </c>
      <c r="Q49" t="s">
        <v>29</v>
      </c>
      <c r="R49">
        <v>97.596730286326164</v>
      </c>
      <c r="S49" s="3" t="s">
        <v>30</v>
      </c>
      <c r="T49" s="4">
        <v>46006</v>
      </c>
      <c r="U49" s="3">
        <v>253.21</v>
      </c>
      <c r="V49" s="1" t="s">
        <v>31</v>
      </c>
      <c r="X49" s="4"/>
      <c r="Y49" s="2">
        <f t="shared" si="1"/>
        <v>0.28996873068364443</v>
      </c>
      <c r="Z49" t="s">
        <v>29</v>
      </c>
    </row>
    <row r="50" spans="1:26" x14ac:dyDescent="0.35">
      <c r="A50" t="s">
        <v>83</v>
      </c>
      <c r="B50" t="s">
        <v>71</v>
      </c>
      <c r="C50" t="s">
        <v>194</v>
      </c>
      <c r="D50" t="s">
        <v>51</v>
      </c>
      <c r="E50" t="s">
        <v>27</v>
      </c>
      <c r="F50">
        <v>1</v>
      </c>
      <c r="J50">
        <v>48</v>
      </c>
      <c r="K50" t="s">
        <v>84</v>
      </c>
      <c r="L50">
        <v>2025</v>
      </c>
      <c r="M50">
        <v>13650</v>
      </c>
      <c r="N50" t="s">
        <v>23</v>
      </c>
      <c r="O50">
        <v>0.41399999999999998</v>
      </c>
      <c r="Q50" t="s">
        <v>29</v>
      </c>
      <c r="R50">
        <v>96.227073705617656</v>
      </c>
      <c r="S50" s="3" t="s">
        <v>30</v>
      </c>
      <c r="T50" s="4">
        <v>46006</v>
      </c>
      <c r="U50" s="3">
        <v>251.15</v>
      </c>
      <c r="V50" s="1" t="s">
        <v>31</v>
      </c>
      <c r="X50" s="4"/>
      <c r="Y50" s="2">
        <f t="shared" si="1"/>
        <v>0.43023234943891991</v>
      </c>
      <c r="Z50" t="s">
        <v>29</v>
      </c>
    </row>
    <row r="51" spans="1:26" x14ac:dyDescent="0.35">
      <c r="A51" t="s">
        <v>83</v>
      </c>
      <c r="B51" t="s">
        <v>71</v>
      </c>
      <c r="C51" t="s">
        <v>194</v>
      </c>
      <c r="D51" t="s">
        <v>51</v>
      </c>
      <c r="E51" t="s">
        <v>27</v>
      </c>
      <c r="F51">
        <v>2</v>
      </c>
      <c r="J51">
        <v>48</v>
      </c>
      <c r="K51" t="s">
        <v>158</v>
      </c>
      <c r="L51">
        <v>2025</v>
      </c>
      <c r="M51">
        <v>13651</v>
      </c>
      <c r="N51" t="s">
        <v>23</v>
      </c>
      <c r="O51">
        <v>0.249</v>
      </c>
      <c r="Q51" t="s">
        <v>29</v>
      </c>
      <c r="R51">
        <v>97.885955974520044</v>
      </c>
      <c r="S51" s="3" t="s">
        <v>30</v>
      </c>
      <c r="T51" s="4">
        <v>46006</v>
      </c>
      <c r="U51" s="3">
        <v>251.15</v>
      </c>
      <c r="V51" s="1" t="s">
        <v>31</v>
      </c>
      <c r="X51" s="4"/>
      <c r="Y51" s="2">
        <f t="shared" si="1"/>
        <v>0.2543776556310236</v>
      </c>
      <c r="Z51" t="s">
        <v>29</v>
      </c>
    </row>
    <row r="52" spans="1:26" x14ac:dyDescent="0.35">
      <c r="A52" t="s">
        <v>85</v>
      </c>
      <c r="B52" t="s">
        <v>71</v>
      </c>
      <c r="C52" t="s">
        <v>194</v>
      </c>
      <c r="D52" t="s">
        <v>51</v>
      </c>
      <c r="E52" t="s">
        <v>33</v>
      </c>
      <c r="F52">
        <v>1</v>
      </c>
      <c r="J52">
        <v>48</v>
      </c>
      <c r="K52" t="s">
        <v>86</v>
      </c>
      <c r="L52">
        <v>2025</v>
      </c>
      <c r="M52">
        <v>13652</v>
      </c>
      <c r="N52" t="s">
        <v>23</v>
      </c>
      <c r="O52">
        <v>0.66</v>
      </c>
      <c r="Q52" t="s">
        <v>29</v>
      </c>
      <c r="R52">
        <v>98.699096805097724</v>
      </c>
      <c r="S52" s="3" t="s">
        <v>30</v>
      </c>
      <c r="T52" s="4">
        <v>46006</v>
      </c>
      <c r="U52" s="3">
        <v>250.73</v>
      </c>
      <c r="V52" s="1" t="s">
        <v>31</v>
      </c>
      <c r="X52" s="4"/>
      <c r="Y52" s="2">
        <f t="shared" si="1"/>
        <v>0.66869912832465916</v>
      </c>
      <c r="Z52" t="s">
        <v>29</v>
      </c>
    </row>
    <row r="53" spans="1:26" x14ac:dyDescent="0.35">
      <c r="A53" t="s">
        <v>85</v>
      </c>
      <c r="B53" t="s">
        <v>71</v>
      </c>
      <c r="C53" t="s">
        <v>194</v>
      </c>
      <c r="D53" t="s">
        <v>51</v>
      </c>
      <c r="E53" t="s">
        <v>33</v>
      </c>
      <c r="F53">
        <v>2</v>
      </c>
      <c r="J53">
        <v>48</v>
      </c>
      <c r="K53" t="s">
        <v>159</v>
      </c>
      <c r="L53">
        <v>2025</v>
      </c>
      <c r="M53">
        <v>13653</v>
      </c>
      <c r="N53" t="s">
        <v>23</v>
      </c>
      <c r="O53">
        <v>0.28999999999999998</v>
      </c>
      <c r="Q53" t="s">
        <v>29</v>
      </c>
      <c r="R53">
        <v>98.948377900828277</v>
      </c>
      <c r="S53" s="3" t="s">
        <v>30</v>
      </c>
      <c r="T53" s="4">
        <v>46006</v>
      </c>
      <c r="U53" s="3">
        <v>250.73</v>
      </c>
      <c r="V53" s="1" t="s">
        <v>31</v>
      </c>
      <c r="X53" s="4"/>
      <c r="Y53" s="2">
        <f t="shared" si="1"/>
        <v>0.29308211630377057</v>
      </c>
      <c r="Z53" t="s">
        <v>29</v>
      </c>
    </row>
    <row r="54" spans="1:26" x14ac:dyDescent="0.35">
      <c r="A54" t="s">
        <v>87</v>
      </c>
      <c r="B54" t="s">
        <v>71</v>
      </c>
      <c r="C54" t="s">
        <v>194</v>
      </c>
      <c r="D54" t="s">
        <v>51</v>
      </c>
      <c r="E54" t="s">
        <v>36</v>
      </c>
      <c r="F54">
        <v>1</v>
      </c>
      <c r="J54">
        <v>48</v>
      </c>
      <c r="K54" t="s">
        <v>88</v>
      </c>
      <c r="L54">
        <v>2025</v>
      </c>
      <c r="M54">
        <v>13654</v>
      </c>
      <c r="N54" t="s">
        <v>23</v>
      </c>
      <c r="O54">
        <v>0.48899999999999999</v>
      </c>
      <c r="Q54" t="s">
        <v>29</v>
      </c>
      <c r="R54">
        <v>97.297297297297291</v>
      </c>
      <c r="S54" s="3" t="s">
        <v>30</v>
      </c>
      <c r="T54" s="4">
        <v>46006</v>
      </c>
      <c r="U54" s="3">
        <v>254.54</v>
      </c>
      <c r="V54" s="1" t="s">
        <v>31</v>
      </c>
      <c r="X54" s="4"/>
      <c r="Y54" s="2">
        <f t="shared" si="1"/>
        <v>0.50258333333333338</v>
      </c>
      <c r="Z54" t="s">
        <v>29</v>
      </c>
    </row>
    <row r="55" spans="1:26" x14ac:dyDescent="0.35">
      <c r="A55" t="s">
        <v>87</v>
      </c>
      <c r="B55" t="s">
        <v>71</v>
      </c>
      <c r="C55" t="s">
        <v>194</v>
      </c>
      <c r="D55" t="s">
        <v>51</v>
      </c>
      <c r="E55" t="s">
        <v>36</v>
      </c>
      <c r="F55">
        <v>2</v>
      </c>
      <c r="J55">
        <v>48</v>
      </c>
      <c r="K55" t="s">
        <v>160</v>
      </c>
      <c r="L55">
        <v>2025</v>
      </c>
      <c r="M55">
        <v>13655</v>
      </c>
      <c r="N55" t="s">
        <v>23</v>
      </c>
      <c r="O55">
        <v>0.33</v>
      </c>
      <c r="Q55" t="s">
        <v>29</v>
      </c>
      <c r="R55">
        <v>99.388756648740781</v>
      </c>
      <c r="S55" s="3" t="s">
        <v>30</v>
      </c>
      <c r="T55" s="4">
        <v>46006</v>
      </c>
      <c r="U55" s="3">
        <v>254.54</v>
      </c>
      <c r="V55" s="1" t="s">
        <v>31</v>
      </c>
      <c r="X55" s="4"/>
      <c r="Y55" s="2">
        <f t="shared" si="1"/>
        <v>0.33202950829366368</v>
      </c>
      <c r="Z55" t="s">
        <v>29</v>
      </c>
    </row>
    <row r="56" spans="1:26" x14ac:dyDescent="0.35">
      <c r="A56" t="s">
        <v>89</v>
      </c>
      <c r="B56" t="s">
        <v>71</v>
      </c>
      <c r="C56" t="s">
        <v>195</v>
      </c>
      <c r="D56" t="s">
        <v>26</v>
      </c>
      <c r="E56" t="s">
        <v>27</v>
      </c>
      <c r="F56">
        <v>1</v>
      </c>
      <c r="J56">
        <v>48</v>
      </c>
      <c r="K56" t="s">
        <v>90</v>
      </c>
      <c r="L56">
        <v>2025</v>
      </c>
      <c r="M56">
        <v>13656</v>
      </c>
      <c r="N56" t="s">
        <v>23</v>
      </c>
      <c r="O56">
        <v>0.64</v>
      </c>
      <c r="Q56" t="s">
        <v>29</v>
      </c>
      <c r="R56">
        <v>98.871915207344045</v>
      </c>
      <c r="S56" s="3" t="s">
        <v>30</v>
      </c>
      <c r="T56" s="4">
        <v>46006</v>
      </c>
      <c r="U56" s="3">
        <v>250.13</v>
      </c>
      <c r="V56" s="1" t="s">
        <v>31</v>
      </c>
      <c r="X56" s="4"/>
      <c r="Y56" s="2">
        <f t="shared" si="1"/>
        <v>0.64730211674150095</v>
      </c>
      <c r="Z56" t="s">
        <v>29</v>
      </c>
    </row>
    <row r="57" spans="1:26" x14ac:dyDescent="0.35">
      <c r="A57" t="s">
        <v>89</v>
      </c>
      <c r="B57" t="s">
        <v>71</v>
      </c>
      <c r="C57" t="s">
        <v>195</v>
      </c>
      <c r="D57" t="s">
        <v>26</v>
      </c>
      <c r="E57" t="s">
        <v>27</v>
      </c>
      <c r="F57">
        <v>2</v>
      </c>
      <c r="J57">
        <v>48</v>
      </c>
      <c r="K57" t="s">
        <v>161</v>
      </c>
      <c r="L57">
        <v>2025</v>
      </c>
      <c r="M57">
        <v>13657</v>
      </c>
      <c r="N57" t="s">
        <v>23</v>
      </c>
      <c r="O57">
        <v>0.38</v>
      </c>
      <c r="Q57" t="s">
        <v>29</v>
      </c>
      <c r="R57">
        <v>99.450494936158179</v>
      </c>
      <c r="S57" s="3" t="s">
        <v>30</v>
      </c>
      <c r="T57" s="4">
        <v>46006</v>
      </c>
      <c r="U57" s="3">
        <v>250.13</v>
      </c>
      <c r="V57" s="1" t="s">
        <v>31</v>
      </c>
      <c r="X57" s="4"/>
      <c r="Y57" s="2">
        <f t="shared" si="1"/>
        <v>0.38209965696393905</v>
      </c>
      <c r="Z57" t="s">
        <v>29</v>
      </c>
    </row>
    <row r="58" spans="1:26" x14ac:dyDescent="0.35">
      <c r="A58" t="s">
        <v>91</v>
      </c>
      <c r="B58" t="s">
        <v>71</v>
      </c>
      <c r="C58" t="s">
        <v>195</v>
      </c>
      <c r="D58" t="s">
        <v>26</v>
      </c>
      <c r="E58" t="s">
        <v>33</v>
      </c>
      <c r="F58">
        <v>1</v>
      </c>
      <c r="J58">
        <v>48</v>
      </c>
      <c r="K58" t="s">
        <v>92</v>
      </c>
      <c r="L58">
        <v>2025</v>
      </c>
      <c r="M58">
        <v>13658</v>
      </c>
      <c r="N58" t="s">
        <v>23</v>
      </c>
      <c r="O58">
        <v>0.47399999999999998</v>
      </c>
      <c r="Q58" t="s">
        <v>29</v>
      </c>
      <c r="R58">
        <v>99.386885346790564</v>
      </c>
      <c r="S58" s="3" t="s">
        <v>30</v>
      </c>
      <c r="T58" s="4">
        <v>46006</v>
      </c>
      <c r="U58" s="3">
        <v>252.22</v>
      </c>
      <c r="V58" s="1" t="s">
        <v>31</v>
      </c>
      <c r="X58" s="4"/>
      <c r="Y58" s="2">
        <f t="shared" si="1"/>
        <v>0.47692409148960874</v>
      </c>
      <c r="Z58" t="s">
        <v>29</v>
      </c>
    </row>
    <row r="59" spans="1:26" x14ac:dyDescent="0.35">
      <c r="A59" t="s">
        <v>91</v>
      </c>
      <c r="B59" t="s">
        <v>71</v>
      </c>
      <c r="C59" t="s">
        <v>195</v>
      </c>
      <c r="D59" t="s">
        <v>26</v>
      </c>
      <c r="E59" t="s">
        <v>33</v>
      </c>
      <c r="F59">
        <v>2</v>
      </c>
      <c r="J59">
        <v>48</v>
      </c>
      <c r="K59" t="s">
        <v>162</v>
      </c>
      <c r="L59">
        <v>2025</v>
      </c>
      <c r="M59">
        <v>13659</v>
      </c>
      <c r="N59" t="s">
        <v>23</v>
      </c>
      <c r="O59">
        <v>0.245</v>
      </c>
      <c r="Q59" t="s">
        <v>29</v>
      </c>
      <c r="R59">
        <v>99.489637521485946</v>
      </c>
      <c r="S59" s="3" t="s">
        <v>30</v>
      </c>
      <c r="T59" s="4">
        <v>46006</v>
      </c>
      <c r="U59" s="3">
        <v>252.22</v>
      </c>
      <c r="V59" s="1" t="s">
        <v>31</v>
      </c>
      <c r="X59" s="4"/>
      <c r="Y59" s="2">
        <f t="shared" si="1"/>
        <v>0.24625680231982894</v>
      </c>
      <c r="Z59" t="s">
        <v>29</v>
      </c>
    </row>
    <row r="60" spans="1:26" x14ac:dyDescent="0.35">
      <c r="A60" t="s">
        <v>93</v>
      </c>
      <c r="B60" t="s">
        <v>71</v>
      </c>
      <c r="C60" t="s">
        <v>195</v>
      </c>
      <c r="D60" t="s">
        <v>26</v>
      </c>
      <c r="E60" t="s">
        <v>36</v>
      </c>
      <c r="F60">
        <v>1</v>
      </c>
      <c r="J60">
        <v>48</v>
      </c>
      <c r="K60" t="s">
        <v>94</v>
      </c>
      <c r="L60">
        <v>2025</v>
      </c>
      <c r="M60">
        <v>13660</v>
      </c>
      <c r="N60" t="s">
        <v>23</v>
      </c>
      <c r="O60">
        <v>0.497</v>
      </c>
      <c r="Q60" t="s">
        <v>29</v>
      </c>
      <c r="R60">
        <v>99.332073188043069</v>
      </c>
      <c r="S60" s="3" t="s">
        <v>30</v>
      </c>
      <c r="T60" s="4">
        <v>46006</v>
      </c>
      <c r="U60" s="3">
        <v>248.64</v>
      </c>
      <c r="V60" s="1" t="s">
        <v>31</v>
      </c>
      <c r="X60" s="4"/>
      <c r="Y60" s="2">
        <f t="shared" si="1"/>
        <v>0.50034191782058324</v>
      </c>
      <c r="Z60" t="s">
        <v>29</v>
      </c>
    </row>
    <row r="61" spans="1:26" x14ac:dyDescent="0.35">
      <c r="A61" t="s">
        <v>93</v>
      </c>
      <c r="B61" t="s">
        <v>71</v>
      </c>
      <c r="C61" t="s">
        <v>195</v>
      </c>
      <c r="D61" t="s">
        <v>26</v>
      </c>
      <c r="E61" t="s">
        <v>36</v>
      </c>
      <c r="F61">
        <v>2</v>
      </c>
      <c r="J61">
        <v>48</v>
      </c>
      <c r="K61" t="s">
        <v>163</v>
      </c>
      <c r="L61">
        <v>2025</v>
      </c>
      <c r="M61">
        <v>13661</v>
      </c>
      <c r="N61" t="s">
        <v>23</v>
      </c>
      <c r="O61">
        <v>0.32400000000000001</v>
      </c>
      <c r="Q61" t="s">
        <v>29</v>
      </c>
      <c r="R61">
        <v>99.367721514003833</v>
      </c>
      <c r="S61" s="3" t="s">
        <v>30</v>
      </c>
      <c r="T61" s="4">
        <v>46006</v>
      </c>
      <c r="U61" s="3">
        <v>248.64</v>
      </c>
      <c r="V61" s="1" t="s">
        <v>31</v>
      </c>
      <c r="X61" s="4"/>
      <c r="Y61" s="2">
        <f t="shared" si="1"/>
        <v>0.32606161745827983</v>
      </c>
      <c r="Z61" t="s">
        <v>29</v>
      </c>
    </row>
    <row r="62" spans="1:26" x14ac:dyDescent="0.35">
      <c r="A62" t="s">
        <v>95</v>
      </c>
      <c r="B62" t="s">
        <v>71</v>
      </c>
      <c r="C62" t="s">
        <v>196</v>
      </c>
      <c r="D62" t="s">
        <v>26</v>
      </c>
      <c r="E62" t="s">
        <v>27</v>
      </c>
      <c r="F62">
        <v>1</v>
      </c>
      <c r="J62">
        <v>48</v>
      </c>
      <c r="K62" t="s">
        <v>96</v>
      </c>
      <c r="L62">
        <v>2025</v>
      </c>
      <c r="M62">
        <v>13662</v>
      </c>
      <c r="N62" t="s">
        <v>23</v>
      </c>
      <c r="O62">
        <v>0.60299999999999998</v>
      </c>
      <c r="Q62" t="s">
        <v>29</v>
      </c>
      <c r="R62">
        <v>86.661177168077458</v>
      </c>
      <c r="S62" s="3" t="s">
        <v>30</v>
      </c>
      <c r="T62" s="4">
        <v>46006</v>
      </c>
      <c r="U62" s="3">
        <v>254.85</v>
      </c>
      <c r="V62" s="1" t="s">
        <v>31</v>
      </c>
      <c r="X62" s="4"/>
      <c r="Y62" s="2">
        <f t="shared" si="1"/>
        <v>0.6958133038401898</v>
      </c>
      <c r="Z62" t="s">
        <v>29</v>
      </c>
    </row>
    <row r="63" spans="1:26" x14ac:dyDescent="0.35">
      <c r="A63" t="s">
        <v>95</v>
      </c>
      <c r="B63" t="s">
        <v>71</v>
      </c>
      <c r="C63" t="s">
        <v>196</v>
      </c>
      <c r="D63" t="s">
        <v>26</v>
      </c>
      <c r="E63" t="s">
        <v>27</v>
      </c>
      <c r="F63">
        <v>2</v>
      </c>
      <c r="J63">
        <v>48</v>
      </c>
      <c r="K63" t="s">
        <v>164</v>
      </c>
      <c r="L63">
        <v>2025</v>
      </c>
      <c r="M63">
        <v>13663</v>
      </c>
      <c r="N63" t="s">
        <v>23</v>
      </c>
      <c r="O63">
        <v>0.45100000000000001</v>
      </c>
      <c r="Q63" t="s">
        <v>29</v>
      </c>
      <c r="R63">
        <v>99.405029187247408</v>
      </c>
      <c r="S63" s="3" t="s">
        <v>30</v>
      </c>
      <c r="T63" s="4">
        <v>46006</v>
      </c>
      <c r="U63" s="3">
        <v>254.85</v>
      </c>
      <c r="V63" s="1" t="s">
        <v>31</v>
      </c>
      <c r="X63" s="4"/>
      <c r="Y63" s="2">
        <f t="shared" si="1"/>
        <v>0.45369937888198764</v>
      </c>
      <c r="Z63" t="s">
        <v>29</v>
      </c>
    </row>
    <row r="64" spans="1:26" x14ac:dyDescent="0.35">
      <c r="A64" t="s">
        <v>97</v>
      </c>
      <c r="B64" t="s">
        <v>71</v>
      </c>
      <c r="C64" t="s">
        <v>196</v>
      </c>
      <c r="D64" t="s">
        <v>26</v>
      </c>
      <c r="E64" t="s">
        <v>33</v>
      </c>
      <c r="F64">
        <v>1</v>
      </c>
      <c r="J64">
        <v>48</v>
      </c>
      <c r="K64" t="s">
        <v>98</v>
      </c>
      <c r="L64">
        <v>2025</v>
      </c>
      <c r="M64">
        <v>13664</v>
      </c>
      <c r="N64" t="s">
        <v>23</v>
      </c>
      <c r="O64">
        <v>0.46100000000000002</v>
      </c>
      <c r="Q64" t="s">
        <v>29</v>
      </c>
      <c r="R64">
        <v>99.315236544509631</v>
      </c>
      <c r="S64" s="3" t="s">
        <v>30</v>
      </c>
      <c r="T64" s="4">
        <v>46006</v>
      </c>
      <c r="U64" s="3">
        <v>251.25</v>
      </c>
      <c r="V64" s="1" t="s">
        <v>31</v>
      </c>
      <c r="X64" s="4"/>
      <c r="Y64" s="2">
        <f t="shared" si="1"/>
        <v>0.46417852490679601</v>
      </c>
      <c r="Z64" t="s">
        <v>29</v>
      </c>
    </row>
    <row r="65" spans="1:27" x14ac:dyDescent="0.35">
      <c r="A65" t="s">
        <v>97</v>
      </c>
      <c r="B65" t="s">
        <v>71</v>
      </c>
      <c r="C65" t="s">
        <v>196</v>
      </c>
      <c r="D65" t="s">
        <v>26</v>
      </c>
      <c r="E65" t="s">
        <v>33</v>
      </c>
      <c r="F65">
        <v>2</v>
      </c>
      <c r="J65">
        <v>48</v>
      </c>
      <c r="K65" t="s">
        <v>165</v>
      </c>
      <c r="L65">
        <v>2025</v>
      </c>
      <c r="M65">
        <v>13665</v>
      </c>
      <c r="N65" t="s">
        <v>23</v>
      </c>
      <c r="O65">
        <v>0.33200000000000002</v>
      </c>
      <c r="Q65" t="s">
        <v>29</v>
      </c>
      <c r="R65">
        <v>99.442824022137444</v>
      </c>
      <c r="S65" s="3" t="s">
        <v>30</v>
      </c>
      <c r="T65" s="4">
        <v>46006</v>
      </c>
      <c r="U65" s="3">
        <v>251.25</v>
      </c>
      <c r="V65" s="1" t="s">
        <v>31</v>
      </c>
      <c r="X65" s="4"/>
      <c r="Y65" s="2">
        <f t="shared" si="1"/>
        <v>0.33386018877148133</v>
      </c>
      <c r="Z65" t="s">
        <v>29</v>
      </c>
    </row>
    <row r="66" spans="1:27" x14ac:dyDescent="0.35">
      <c r="A66" t="s">
        <v>99</v>
      </c>
      <c r="B66" t="s">
        <v>71</v>
      </c>
      <c r="C66" t="s">
        <v>196</v>
      </c>
      <c r="D66" t="s">
        <v>26</v>
      </c>
      <c r="E66" t="s">
        <v>36</v>
      </c>
      <c r="F66">
        <v>1</v>
      </c>
      <c r="J66">
        <v>48</v>
      </c>
      <c r="K66" t="s">
        <v>100</v>
      </c>
      <c r="L66">
        <v>2025</v>
      </c>
      <c r="M66">
        <v>13666</v>
      </c>
      <c r="N66" t="s">
        <v>23</v>
      </c>
      <c r="O66">
        <v>0.45700000000000002</v>
      </c>
      <c r="Q66" t="s">
        <v>29</v>
      </c>
      <c r="R66">
        <v>99.343240759419899</v>
      </c>
      <c r="S66" s="3" t="s">
        <v>30</v>
      </c>
      <c r="T66" s="4">
        <v>46006</v>
      </c>
      <c r="U66" s="3">
        <v>253.92</v>
      </c>
      <c r="V66" s="1" t="s">
        <v>31</v>
      </c>
      <c r="X66" s="4"/>
      <c r="Y66" s="2">
        <f t="shared" ref="Y66:Y97" si="2">(O66*100)/R66</f>
        <v>0.46002123194945854</v>
      </c>
      <c r="Z66" t="s">
        <v>29</v>
      </c>
    </row>
    <row r="67" spans="1:27" x14ac:dyDescent="0.35">
      <c r="A67" t="s">
        <v>99</v>
      </c>
      <c r="B67" t="s">
        <v>71</v>
      </c>
      <c r="C67" t="s">
        <v>196</v>
      </c>
      <c r="D67" t="s">
        <v>26</v>
      </c>
      <c r="E67" t="s">
        <v>36</v>
      </c>
      <c r="F67">
        <v>2</v>
      </c>
      <c r="J67">
        <v>48</v>
      </c>
      <c r="K67" t="s">
        <v>166</v>
      </c>
      <c r="L67">
        <v>2025</v>
      </c>
      <c r="M67">
        <v>13667</v>
      </c>
      <c r="N67" t="s">
        <v>23</v>
      </c>
      <c r="O67">
        <v>0.29399999999999998</v>
      </c>
      <c r="Q67" t="s">
        <v>29</v>
      </c>
      <c r="R67">
        <v>99.514279289408591</v>
      </c>
      <c r="S67" s="3" t="s">
        <v>30</v>
      </c>
      <c r="T67" s="4">
        <v>46006</v>
      </c>
      <c r="U67" s="3">
        <v>253.92</v>
      </c>
      <c r="V67" s="1" t="s">
        <v>31</v>
      </c>
      <c r="X67" s="4"/>
      <c r="Y67" s="2">
        <f t="shared" si="2"/>
        <v>0.29543498892755454</v>
      </c>
      <c r="Z67" t="s">
        <v>29</v>
      </c>
    </row>
    <row r="68" spans="1:27" x14ac:dyDescent="0.35">
      <c r="A68" t="s">
        <v>101</v>
      </c>
      <c r="B68" t="s">
        <v>71</v>
      </c>
      <c r="C68" t="s">
        <v>197</v>
      </c>
      <c r="D68" t="s">
        <v>26</v>
      </c>
      <c r="E68" t="s">
        <v>27</v>
      </c>
      <c r="F68">
        <v>1</v>
      </c>
      <c r="J68">
        <v>48</v>
      </c>
      <c r="K68" t="s">
        <v>102</v>
      </c>
      <c r="L68">
        <v>2025</v>
      </c>
      <c r="M68">
        <v>13668</v>
      </c>
      <c r="N68" t="s">
        <v>23</v>
      </c>
      <c r="O68">
        <v>0.61</v>
      </c>
      <c r="Q68" t="s">
        <v>29</v>
      </c>
      <c r="R68">
        <v>99.145016603807619</v>
      </c>
      <c r="S68" s="3" t="s">
        <v>30</v>
      </c>
      <c r="T68" s="4">
        <v>46006</v>
      </c>
      <c r="U68" s="3">
        <v>253.54</v>
      </c>
      <c r="V68" s="1" t="s">
        <v>31</v>
      </c>
      <c r="X68" s="4"/>
      <c r="Y68" s="2">
        <f t="shared" si="2"/>
        <v>0.6152603740414051</v>
      </c>
      <c r="Z68" t="s">
        <v>29</v>
      </c>
    </row>
    <row r="69" spans="1:27" x14ac:dyDescent="0.35">
      <c r="A69" t="s">
        <v>101</v>
      </c>
      <c r="B69" t="s">
        <v>71</v>
      </c>
      <c r="C69" t="s">
        <v>197</v>
      </c>
      <c r="D69" t="s">
        <v>26</v>
      </c>
      <c r="E69" t="s">
        <v>27</v>
      </c>
      <c r="F69">
        <v>2</v>
      </c>
      <c r="J69">
        <v>48</v>
      </c>
      <c r="K69" t="s">
        <v>167</v>
      </c>
      <c r="L69">
        <v>2025</v>
      </c>
      <c r="M69">
        <v>13669</v>
      </c>
      <c r="N69" t="s">
        <v>23</v>
      </c>
      <c r="O69">
        <v>0.44600000000000001</v>
      </c>
      <c r="Q69" t="s">
        <v>29</v>
      </c>
      <c r="R69">
        <v>99.216444105591322</v>
      </c>
      <c r="S69" s="3" t="s">
        <v>30</v>
      </c>
      <c r="T69" s="4">
        <v>46006</v>
      </c>
      <c r="U69" s="3">
        <v>253.54</v>
      </c>
      <c r="V69" s="1" t="s">
        <v>31</v>
      </c>
      <c r="X69" s="4"/>
      <c r="Y69" s="2">
        <f t="shared" si="2"/>
        <v>0.44952225815041658</v>
      </c>
      <c r="Z69" t="s">
        <v>29</v>
      </c>
    </row>
    <row r="70" spans="1:27" x14ac:dyDescent="0.35">
      <c r="A70" t="s">
        <v>103</v>
      </c>
      <c r="B70" t="s">
        <v>71</v>
      </c>
      <c r="C70" t="s">
        <v>197</v>
      </c>
      <c r="D70" t="s">
        <v>26</v>
      </c>
      <c r="E70" t="s">
        <v>33</v>
      </c>
      <c r="F70">
        <v>1</v>
      </c>
      <c r="J70">
        <v>48</v>
      </c>
      <c r="K70" t="s">
        <v>104</v>
      </c>
      <c r="L70">
        <v>2025</v>
      </c>
      <c r="M70">
        <v>13670</v>
      </c>
      <c r="N70" t="s">
        <v>23</v>
      </c>
      <c r="O70">
        <v>0.98699999999999999</v>
      </c>
      <c r="Q70" t="s">
        <v>29</v>
      </c>
      <c r="R70">
        <v>99.018074051462079</v>
      </c>
      <c r="S70" s="3" t="s">
        <v>30</v>
      </c>
      <c r="T70" s="4">
        <v>46006</v>
      </c>
      <c r="U70" s="3">
        <v>247.9</v>
      </c>
      <c r="V70" s="1" t="s">
        <v>31</v>
      </c>
      <c r="X70" s="4"/>
      <c r="Y70" s="2">
        <f t="shared" si="2"/>
        <v>0.99678771724749193</v>
      </c>
      <c r="Z70" t="s">
        <v>29</v>
      </c>
    </row>
    <row r="71" spans="1:27" x14ac:dyDescent="0.35">
      <c r="A71" t="s">
        <v>103</v>
      </c>
      <c r="B71" t="s">
        <v>71</v>
      </c>
      <c r="C71" t="s">
        <v>197</v>
      </c>
      <c r="D71" t="s">
        <v>26</v>
      </c>
      <c r="E71" t="s">
        <v>33</v>
      </c>
      <c r="F71">
        <v>2</v>
      </c>
      <c r="J71">
        <v>48</v>
      </c>
      <c r="K71" t="s">
        <v>168</v>
      </c>
      <c r="L71">
        <v>2025</v>
      </c>
      <c r="M71">
        <v>13671</v>
      </c>
      <c r="N71" t="s">
        <v>23</v>
      </c>
      <c r="O71">
        <v>0.40600000000000003</v>
      </c>
      <c r="Q71" t="s">
        <v>29</v>
      </c>
      <c r="R71">
        <v>99.31266896270786</v>
      </c>
      <c r="S71" s="3" t="s">
        <v>30</v>
      </c>
      <c r="T71" s="4">
        <v>46006</v>
      </c>
      <c r="U71" s="3">
        <v>247.9</v>
      </c>
      <c r="V71" s="1" t="s">
        <v>31</v>
      </c>
      <c r="X71" s="4"/>
      <c r="Y71" s="2">
        <f t="shared" si="2"/>
        <v>0.40880987716930051</v>
      </c>
      <c r="Z71" t="s">
        <v>29</v>
      </c>
    </row>
    <row r="72" spans="1:27" x14ac:dyDescent="0.35">
      <c r="A72" t="s">
        <v>105</v>
      </c>
      <c r="B72" t="s">
        <v>71</v>
      </c>
      <c r="C72" t="s">
        <v>197</v>
      </c>
      <c r="D72" t="s">
        <v>26</v>
      </c>
      <c r="E72" t="s">
        <v>36</v>
      </c>
      <c r="F72">
        <v>1</v>
      </c>
      <c r="J72">
        <v>48</v>
      </c>
      <c r="K72" t="s">
        <v>106</v>
      </c>
      <c r="L72">
        <v>2025</v>
      </c>
      <c r="M72">
        <v>13672</v>
      </c>
      <c r="N72" t="s">
        <v>23</v>
      </c>
      <c r="O72">
        <v>0.35499999999999998</v>
      </c>
      <c r="Q72" t="s">
        <v>29</v>
      </c>
      <c r="R72">
        <v>99.432074764066115</v>
      </c>
      <c r="S72" s="3" t="s">
        <v>30</v>
      </c>
      <c r="T72" s="4">
        <v>46006</v>
      </c>
      <c r="U72" s="3">
        <v>254.56</v>
      </c>
      <c r="V72" s="1" t="s">
        <v>31</v>
      </c>
      <c r="X72" s="4"/>
      <c r="Y72" s="2">
        <f t="shared" si="2"/>
        <v>0.35702765012431775</v>
      </c>
      <c r="Z72" t="s">
        <v>29</v>
      </c>
    </row>
    <row r="73" spans="1:27" x14ac:dyDescent="0.35">
      <c r="A73" t="s">
        <v>105</v>
      </c>
      <c r="B73" t="s">
        <v>71</v>
      </c>
      <c r="C73" t="s">
        <v>197</v>
      </c>
      <c r="D73" t="s">
        <v>26</v>
      </c>
      <c r="E73" t="s">
        <v>36</v>
      </c>
      <c r="F73">
        <v>2</v>
      </c>
      <c r="J73">
        <v>48</v>
      </c>
      <c r="K73" t="s">
        <v>169</v>
      </c>
      <c r="L73">
        <v>2025</v>
      </c>
      <c r="M73">
        <v>13673</v>
      </c>
      <c r="N73" t="s">
        <v>23</v>
      </c>
      <c r="O73">
        <v>0.157</v>
      </c>
      <c r="Q73" t="s">
        <v>29</v>
      </c>
      <c r="R73">
        <v>99.755565121141316</v>
      </c>
      <c r="S73" s="3" t="s">
        <v>30</v>
      </c>
      <c r="T73" s="4">
        <v>46006</v>
      </c>
      <c r="U73" s="3">
        <v>254.56</v>
      </c>
      <c r="V73" s="1" t="s">
        <v>31</v>
      </c>
      <c r="X73" s="4"/>
      <c r="Y73" s="2">
        <f t="shared" si="2"/>
        <v>0.15738470310838507</v>
      </c>
      <c r="Z73" t="s">
        <v>29</v>
      </c>
    </row>
    <row r="74" spans="1:27" s="5" customFormat="1" x14ac:dyDescent="0.35">
      <c r="A74" t="s">
        <v>107</v>
      </c>
      <c r="B74" t="s">
        <v>108</v>
      </c>
      <c r="C74" t="s">
        <v>198</v>
      </c>
      <c r="D74" t="s">
        <v>26</v>
      </c>
      <c r="E74" t="s">
        <v>27</v>
      </c>
      <c r="F74">
        <v>1</v>
      </c>
      <c r="G74"/>
      <c r="H74"/>
      <c r="I74"/>
      <c r="J74">
        <v>48</v>
      </c>
      <c r="K74" t="s">
        <v>109</v>
      </c>
      <c r="L74">
        <v>2025</v>
      </c>
      <c r="M74">
        <v>13620</v>
      </c>
      <c r="N74" t="s">
        <v>23</v>
      </c>
      <c r="O74">
        <v>0.36699999999999999</v>
      </c>
      <c r="P74"/>
      <c r="Q74" t="s">
        <v>29</v>
      </c>
      <c r="R74">
        <v>99.272961031435614</v>
      </c>
      <c r="S74" s="3" t="s">
        <v>30</v>
      </c>
      <c r="T74" s="4">
        <v>46006</v>
      </c>
      <c r="U74" s="3">
        <v>246.11</v>
      </c>
      <c r="V74" s="1" t="s">
        <v>31</v>
      </c>
      <c r="W74"/>
      <c r="X74" s="4"/>
      <c r="Y74" s="2">
        <f t="shared" si="2"/>
        <v>0.36968777418030918</v>
      </c>
      <c r="Z74" t="s">
        <v>29</v>
      </c>
      <c r="AA74"/>
    </row>
    <row r="75" spans="1:27" x14ac:dyDescent="0.35">
      <c r="A75" t="s">
        <v>107</v>
      </c>
      <c r="B75" t="s">
        <v>108</v>
      </c>
      <c r="C75" t="s">
        <v>198</v>
      </c>
      <c r="D75" t="s">
        <v>26</v>
      </c>
      <c r="E75" t="s">
        <v>27</v>
      </c>
      <c r="F75">
        <v>2</v>
      </c>
      <c r="J75">
        <v>48</v>
      </c>
      <c r="K75" t="s">
        <v>170</v>
      </c>
      <c r="L75">
        <v>2025</v>
      </c>
      <c r="M75">
        <v>13621</v>
      </c>
      <c r="N75" t="s">
        <v>23</v>
      </c>
      <c r="O75">
        <v>0.28399999999999997</v>
      </c>
      <c r="Q75" t="s">
        <v>29</v>
      </c>
      <c r="R75">
        <v>99.530181162143862</v>
      </c>
      <c r="S75" s="3" t="s">
        <v>30</v>
      </c>
      <c r="T75" s="4">
        <v>46006</v>
      </c>
      <c r="U75" s="3">
        <v>246.11</v>
      </c>
      <c r="V75" s="1" t="s">
        <v>31</v>
      </c>
      <c r="X75" s="4"/>
      <c r="Y75" s="2">
        <f t="shared" si="2"/>
        <v>0.28534058381481064</v>
      </c>
      <c r="Z75" t="s">
        <v>29</v>
      </c>
    </row>
    <row r="76" spans="1:27" x14ac:dyDescent="0.35">
      <c r="A76" t="s">
        <v>110</v>
      </c>
      <c r="B76" t="s">
        <v>108</v>
      </c>
      <c r="C76" t="s">
        <v>198</v>
      </c>
      <c r="D76" t="s">
        <v>26</v>
      </c>
      <c r="E76" t="s">
        <v>33</v>
      </c>
      <c r="F76">
        <v>1</v>
      </c>
      <c r="J76">
        <v>48</v>
      </c>
      <c r="K76" t="s">
        <v>111</v>
      </c>
      <c r="L76">
        <v>2025</v>
      </c>
      <c r="M76">
        <v>13622</v>
      </c>
      <c r="N76" t="s">
        <v>23</v>
      </c>
      <c r="O76">
        <v>0.55100000000000005</v>
      </c>
      <c r="Q76" t="s">
        <v>29</v>
      </c>
      <c r="R76">
        <v>99.225289825315087</v>
      </c>
      <c r="S76" s="3" t="s">
        <v>30</v>
      </c>
      <c r="T76" s="4">
        <v>46006</v>
      </c>
      <c r="U76" s="3">
        <v>245.54</v>
      </c>
      <c r="V76" s="1" t="s">
        <v>31</v>
      </c>
      <c r="X76" s="4"/>
      <c r="Y76" s="2">
        <f t="shared" si="2"/>
        <v>0.55530198094662031</v>
      </c>
      <c r="Z76" t="s">
        <v>29</v>
      </c>
    </row>
    <row r="77" spans="1:27" x14ac:dyDescent="0.35">
      <c r="A77" t="s">
        <v>110</v>
      </c>
      <c r="B77" t="s">
        <v>108</v>
      </c>
      <c r="C77" t="s">
        <v>198</v>
      </c>
      <c r="D77" t="s">
        <v>26</v>
      </c>
      <c r="E77" t="s">
        <v>33</v>
      </c>
      <c r="F77">
        <v>2</v>
      </c>
      <c r="J77">
        <v>48</v>
      </c>
      <c r="K77" t="s">
        <v>171</v>
      </c>
      <c r="L77">
        <v>2025</v>
      </c>
      <c r="M77">
        <v>13623</v>
      </c>
      <c r="N77" t="s">
        <v>23</v>
      </c>
      <c r="O77">
        <v>0.308</v>
      </c>
      <c r="Q77" t="s">
        <v>29</v>
      </c>
      <c r="R77">
        <v>99.458244269182586</v>
      </c>
      <c r="S77" s="3" t="s">
        <v>30</v>
      </c>
      <c r="T77" s="4">
        <v>46006</v>
      </c>
      <c r="U77" s="3">
        <v>245.54</v>
      </c>
      <c r="V77" s="1" t="s">
        <v>31</v>
      </c>
      <c r="X77" s="4"/>
      <c r="Y77" s="2">
        <f t="shared" si="2"/>
        <v>0.30967769666876643</v>
      </c>
      <c r="Z77" t="s">
        <v>29</v>
      </c>
    </row>
    <row r="78" spans="1:27" x14ac:dyDescent="0.35">
      <c r="A78" t="s">
        <v>112</v>
      </c>
      <c r="B78" t="s">
        <v>108</v>
      </c>
      <c r="C78" t="s">
        <v>198</v>
      </c>
      <c r="D78" t="s">
        <v>26</v>
      </c>
      <c r="E78" t="s">
        <v>36</v>
      </c>
      <c r="F78">
        <v>1</v>
      </c>
      <c r="J78">
        <v>48</v>
      </c>
      <c r="K78" t="s">
        <v>113</v>
      </c>
      <c r="L78">
        <v>2025</v>
      </c>
      <c r="M78">
        <v>13624</v>
      </c>
      <c r="N78" t="s">
        <v>23</v>
      </c>
      <c r="O78">
        <v>0.39100000000000001</v>
      </c>
      <c r="Q78" t="s">
        <v>29</v>
      </c>
      <c r="R78">
        <v>99.389689357896088</v>
      </c>
      <c r="S78" s="3" t="s">
        <v>30</v>
      </c>
      <c r="T78" s="4">
        <v>46006</v>
      </c>
      <c r="U78" s="3">
        <v>247.58</v>
      </c>
      <c r="V78" s="1" t="s">
        <v>31</v>
      </c>
      <c r="X78" s="4"/>
      <c r="Y78" s="2">
        <f t="shared" si="2"/>
        <v>0.39340096797368318</v>
      </c>
      <c r="Z78" t="s">
        <v>29</v>
      </c>
    </row>
    <row r="79" spans="1:27" x14ac:dyDescent="0.35">
      <c r="A79" t="s">
        <v>112</v>
      </c>
      <c r="B79" t="s">
        <v>108</v>
      </c>
      <c r="C79" t="s">
        <v>198</v>
      </c>
      <c r="D79" t="s">
        <v>26</v>
      </c>
      <c r="E79" t="s">
        <v>36</v>
      </c>
      <c r="F79">
        <v>2</v>
      </c>
      <c r="J79">
        <v>48</v>
      </c>
      <c r="K79" t="s">
        <v>172</v>
      </c>
      <c r="L79">
        <v>2025</v>
      </c>
      <c r="M79">
        <v>13625</v>
      </c>
      <c r="N79" t="s">
        <v>23</v>
      </c>
      <c r="O79">
        <v>0.27600000000000002</v>
      </c>
      <c r="Q79" t="s">
        <v>29</v>
      </c>
      <c r="R79">
        <v>99.421582213653082</v>
      </c>
      <c r="S79" s="3" t="s">
        <v>30</v>
      </c>
      <c r="T79" s="4">
        <v>46006</v>
      </c>
      <c r="U79" s="3">
        <v>247.58</v>
      </c>
      <c r="V79" s="1" t="s">
        <v>31</v>
      </c>
      <c r="X79" s="4"/>
      <c r="Y79" s="2">
        <f t="shared" si="2"/>
        <v>0.27760572086540208</v>
      </c>
      <c r="Z79" t="s">
        <v>29</v>
      </c>
    </row>
    <row r="80" spans="1:27" x14ac:dyDescent="0.35">
      <c r="A80" t="s">
        <v>114</v>
      </c>
      <c r="B80" t="s">
        <v>108</v>
      </c>
      <c r="C80" t="s">
        <v>199</v>
      </c>
      <c r="D80" t="s">
        <v>51</v>
      </c>
      <c r="E80" t="s">
        <v>27</v>
      </c>
      <c r="F80">
        <v>1</v>
      </c>
      <c r="J80">
        <v>48</v>
      </c>
      <c r="K80" t="s">
        <v>43</v>
      </c>
      <c r="L80">
        <v>2025</v>
      </c>
      <c r="M80">
        <v>13602</v>
      </c>
      <c r="N80" t="s">
        <v>23</v>
      </c>
      <c r="O80">
        <v>0.27100000000000002</v>
      </c>
      <c r="Q80" t="s">
        <v>29</v>
      </c>
      <c r="R80">
        <v>99.501334509595765</v>
      </c>
      <c r="S80" s="3" t="s">
        <v>30</v>
      </c>
      <c r="T80" s="4">
        <v>46006</v>
      </c>
      <c r="U80" s="3">
        <v>258.16000000000003</v>
      </c>
      <c r="V80" s="1" t="s">
        <v>31</v>
      </c>
      <c r="X80" s="4"/>
      <c r="Y80" s="2">
        <f t="shared" si="2"/>
        <v>0.27235815613494629</v>
      </c>
      <c r="Z80" t="s">
        <v>29</v>
      </c>
    </row>
    <row r="81" spans="1:26" x14ac:dyDescent="0.35">
      <c r="A81" t="s">
        <v>114</v>
      </c>
      <c r="B81" t="s">
        <v>108</v>
      </c>
      <c r="C81" t="s">
        <v>199</v>
      </c>
      <c r="D81" t="s">
        <v>51</v>
      </c>
      <c r="E81" t="s">
        <v>27</v>
      </c>
      <c r="F81">
        <v>2</v>
      </c>
      <c r="J81">
        <v>48</v>
      </c>
      <c r="K81" t="s">
        <v>139</v>
      </c>
      <c r="L81">
        <v>2025</v>
      </c>
      <c r="M81">
        <v>13603</v>
      </c>
      <c r="N81" t="s">
        <v>23</v>
      </c>
      <c r="O81">
        <v>0.14899999999999999</v>
      </c>
      <c r="Q81" t="s">
        <v>29</v>
      </c>
      <c r="R81">
        <v>99.623280066768245</v>
      </c>
      <c r="S81" s="3" t="s">
        <v>30</v>
      </c>
      <c r="T81" s="4">
        <v>46006</v>
      </c>
      <c r="U81" s="3">
        <v>258.16000000000003</v>
      </c>
      <c r="V81" s="1" t="s">
        <v>31</v>
      </c>
      <c r="X81" s="4"/>
      <c r="Y81" s="2">
        <f t="shared" si="2"/>
        <v>0.14956343527350144</v>
      </c>
      <c r="Z81" t="s">
        <v>29</v>
      </c>
    </row>
    <row r="82" spans="1:26" x14ac:dyDescent="0.35">
      <c r="A82" t="s">
        <v>115</v>
      </c>
      <c r="B82" t="s">
        <v>108</v>
      </c>
      <c r="C82" t="s">
        <v>199</v>
      </c>
      <c r="D82" t="s">
        <v>51</v>
      </c>
      <c r="E82" t="s">
        <v>33</v>
      </c>
      <c r="F82">
        <v>1</v>
      </c>
      <c r="J82">
        <v>48</v>
      </c>
      <c r="K82" t="s">
        <v>45</v>
      </c>
      <c r="L82">
        <v>2025</v>
      </c>
      <c r="M82">
        <v>13604</v>
      </c>
      <c r="N82" t="s">
        <v>23</v>
      </c>
      <c r="O82">
        <v>0.22500000000000001</v>
      </c>
      <c r="Q82" t="s">
        <v>29</v>
      </c>
      <c r="R82">
        <v>99.447485696422461</v>
      </c>
      <c r="S82" s="3" t="s">
        <v>30</v>
      </c>
      <c r="T82" s="4">
        <v>46006</v>
      </c>
      <c r="U82" s="3">
        <v>246.9</v>
      </c>
      <c r="V82" s="1" t="s">
        <v>31</v>
      </c>
      <c r="X82" s="4"/>
      <c r="Y82" s="2">
        <f t="shared" si="2"/>
        <v>0.2262500639652614</v>
      </c>
      <c r="Z82" t="s">
        <v>29</v>
      </c>
    </row>
    <row r="83" spans="1:26" x14ac:dyDescent="0.35">
      <c r="A83" t="s">
        <v>115</v>
      </c>
      <c r="B83" t="s">
        <v>108</v>
      </c>
      <c r="C83" t="s">
        <v>199</v>
      </c>
      <c r="D83" t="s">
        <v>51</v>
      </c>
      <c r="E83" t="s">
        <v>33</v>
      </c>
      <c r="F83">
        <v>2</v>
      </c>
      <c r="J83">
        <v>48</v>
      </c>
      <c r="K83" t="s">
        <v>140</v>
      </c>
      <c r="L83">
        <v>2025</v>
      </c>
      <c r="M83">
        <v>13605</v>
      </c>
      <c r="N83" t="s">
        <v>23</v>
      </c>
      <c r="O83">
        <v>0.11899999999999999</v>
      </c>
      <c r="Q83" t="s">
        <v>29</v>
      </c>
      <c r="R83">
        <v>99.657228017883753</v>
      </c>
      <c r="S83" s="3" t="s">
        <v>30</v>
      </c>
      <c r="T83" s="4">
        <v>46006</v>
      </c>
      <c r="U83" s="3">
        <v>246.9</v>
      </c>
      <c r="V83" s="1" t="s">
        <v>31</v>
      </c>
      <c r="X83" s="4"/>
      <c r="Y83" s="2">
        <f t="shared" si="2"/>
        <v>0.1194093016300284</v>
      </c>
      <c r="Z83" t="s">
        <v>29</v>
      </c>
    </row>
    <row r="84" spans="1:26" x14ac:dyDescent="0.35">
      <c r="A84" t="s">
        <v>116</v>
      </c>
      <c r="B84" t="s">
        <v>108</v>
      </c>
      <c r="C84" t="s">
        <v>199</v>
      </c>
      <c r="D84" t="s">
        <v>51</v>
      </c>
      <c r="E84" t="s">
        <v>36</v>
      </c>
      <c r="F84">
        <v>1</v>
      </c>
      <c r="J84">
        <v>48</v>
      </c>
      <c r="K84" t="s">
        <v>47</v>
      </c>
      <c r="L84">
        <v>2025</v>
      </c>
      <c r="M84">
        <v>13606</v>
      </c>
      <c r="N84" t="s">
        <v>23</v>
      </c>
      <c r="O84">
        <v>0.17599999999999999</v>
      </c>
      <c r="Q84" t="s">
        <v>29</v>
      </c>
      <c r="R84">
        <v>99.577742259227591</v>
      </c>
      <c r="S84" s="3" t="s">
        <v>30</v>
      </c>
      <c r="T84" s="4">
        <v>46006</v>
      </c>
      <c r="U84" s="3">
        <v>252.44</v>
      </c>
      <c r="V84" s="1" t="s">
        <v>31</v>
      </c>
      <c r="X84" s="4"/>
      <c r="Y84" s="2">
        <f t="shared" si="2"/>
        <v>0.17674632503900795</v>
      </c>
      <c r="Z84" t="s">
        <v>29</v>
      </c>
    </row>
    <row r="85" spans="1:26" x14ac:dyDescent="0.35">
      <c r="A85" t="s">
        <v>116</v>
      </c>
      <c r="B85" t="s">
        <v>108</v>
      </c>
      <c r="C85" t="s">
        <v>199</v>
      </c>
      <c r="D85" t="s">
        <v>51</v>
      </c>
      <c r="E85" t="s">
        <v>36</v>
      </c>
      <c r="F85">
        <v>2</v>
      </c>
      <c r="J85">
        <v>48</v>
      </c>
      <c r="K85" t="s">
        <v>141</v>
      </c>
      <c r="L85">
        <v>2025</v>
      </c>
      <c r="M85">
        <v>13607</v>
      </c>
      <c r="N85" t="s">
        <v>23</v>
      </c>
      <c r="O85">
        <v>0.126</v>
      </c>
      <c r="Q85" t="s">
        <v>29</v>
      </c>
      <c r="R85">
        <v>99.583636294056859</v>
      </c>
      <c r="S85" s="3" t="s">
        <v>30</v>
      </c>
      <c r="T85" s="4">
        <v>46006</v>
      </c>
      <c r="U85" s="3">
        <v>252.44</v>
      </c>
      <c r="V85" s="1" t="s">
        <v>31</v>
      </c>
      <c r="X85" s="4"/>
      <c r="Y85" s="2">
        <f t="shared" si="2"/>
        <v>0.12652681172229865</v>
      </c>
      <c r="Z85" t="s">
        <v>29</v>
      </c>
    </row>
    <row r="86" spans="1:26" x14ac:dyDescent="0.35">
      <c r="A86" t="s">
        <v>117</v>
      </c>
      <c r="B86" t="s">
        <v>108</v>
      </c>
      <c r="C86" t="s">
        <v>200</v>
      </c>
      <c r="D86" t="s">
        <v>51</v>
      </c>
      <c r="E86" t="s">
        <v>27</v>
      </c>
      <c r="F86">
        <v>1</v>
      </c>
      <c r="J86">
        <v>48</v>
      </c>
      <c r="K86" t="s">
        <v>49</v>
      </c>
      <c r="L86">
        <v>2025</v>
      </c>
      <c r="M86">
        <v>13608</v>
      </c>
      <c r="N86" t="s">
        <v>23</v>
      </c>
      <c r="O86">
        <v>0.219</v>
      </c>
      <c r="Q86" t="s">
        <v>29</v>
      </c>
      <c r="R86">
        <v>99.708221599219897</v>
      </c>
      <c r="S86" s="3" t="s">
        <v>30</v>
      </c>
      <c r="T86" s="4">
        <v>46006</v>
      </c>
      <c r="U86" s="3">
        <v>248.91</v>
      </c>
      <c r="V86" s="1" t="s">
        <v>31</v>
      </c>
      <c r="X86" s="4"/>
      <c r="Y86" s="2">
        <f t="shared" si="2"/>
        <v>0.21964086460219587</v>
      </c>
      <c r="Z86" t="s">
        <v>29</v>
      </c>
    </row>
    <row r="87" spans="1:26" x14ac:dyDescent="0.35">
      <c r="A87" t="s">
        <v>117</v>
      </c>
      <c r="B87" t="s">
        <v>108</v>
      </c>
      <c r="C87" t="s">
        <v>200</v>
      </c>
      <c r="D87" t="s">
        <v>51</v>
      </c>
      <c r="E87" t="s">
        <v>27</v>
      </c>
      <c r="F87">
        <v>2</v>
      </c>
      <c r="J87">
        <v>48</v>
      </c>
      <c r="K87" t="s">
        <v>142</v>
      </c>
      <c r="L87">
        <v>2025</v>
      </c>
      <c r="M87">
        <v>13609</v>
      </c>
      <c r="N87" t="s">
        <v>23</v>
      </c>
      <c r="O87">
        <v>0.14399999999999999</v>
      </c>
      <c r="Q87" t="s">
        <v>29</v>
      </c>
      <c r="R87">
        <v>99.66556198478726</v>
      </c>
      <c r="S87" s="3" t="s">
        <v>30</v>
      </c>
      <c r="T87" s="4">
        <v>46006</v>
      </c>
      <c r="U87" s="3">
        <v>248.91</v>
      </c>
      <c r="V87" s="1" t="s">
        <v>31</v>
      </c>
      <c r="X87" s="4"/>
      <c r="Y87" s="2">
        <f t="shared" si="2"/>
        <v>0.14448320676903406</v>
      </c>
      <c r="Z87" t="s">
        <v>29</v>
      </c>
    </row>
    <row r="88" spans="1:26" x14ac:dyDescent="0.35">
      <c r="A88" t="s">
        <v>118</v>
      </c>
      <c r="B88" t="s">
        <v>108</v>
      </c>
      <c r="C88" t="s">
        <v>200</v>
      </c>
      <c r="D88" t="s">
        <v>51</v>
      </c>
      <c r="E88" t="s">
        <v>33</v>
      </c>
      <c r="F88">
        <v>1</v>
      </c>
      <c r="J88">
        <v>48</v>
      </c>
      <c r="K88" t="s">
        <v>119</v>
      </c>
      <c r="L88">
        <v>2025</v>
      </c>
      <c r="M88">
        <v>13610</v>
      </c>
      <c r="N88" t="s">
        <v>23</v>
      </c>
      <c r="O88">
        <v>0.26900000000000002</v>
      </c>
      <c r="Q88" t="s">
        <v>29</v>
      </c>
      <c r="R88">
        <v>99.597671760317652</v>
      </c>
      <c r="S88" s="3" t="s">
        <v>30</v>
      </c>
      <c r="T88" s="4">
        <v>46006</v>
      </c>
      <c r="U88" s="3">
        <v>246.14</v>
      </c>
      <c r="V88" s="1" t="s">
        <v>31</v>
      </c>
      <c r="X88" s="4"/>
      <c r="Y88" s="2">
        <f t="shared" si="2"/>
        <v>0.27008663480342193</v>
      </c>
      <c r="Z88" t="s">
        <v>29</v>
      </c>
    </row>
    <row r="89" spans="1:26" x14ac:dyDescent="0.35">
      <c r="A89" t="s">
        <v>118</v>
      </c>
      <c r="B89" t="s">
        <v>108</v>
      </c>
      <c r="C89" t="s">
        <v>200</v>
      </c>
      <c r="D89" t="s">
        <v>51</v>
      </c>
      <c r="E89" t="s">
        <v>33</v>
      </c>
      <c r="F89">
        <v>2</v>
      </c>
      <c r="J89">
        <v>48</v>
      </c>
      <c r="K89" t="s">
        <v>173</v>
      </c>
      <c r="L89">
        <v>2025</v>
      </c>
      <c r="M89">
        <v>13611</v>
      </c>
      <c r="N89" t="s">
        <v>23</v>
      </c>
      <c r="O89">
        <v>0.17699999999999999</v>
      </c>
      <c r="Q89" t="s">
        <v>29</v>
      </c>
      <c r="R89">
        <v>99.692175319136297</v>
      </c>
      <c r="S89" s="3" t="s">
        <v>30</v>
      </c>
      <c r="T89" s="4">
        <v>46006</v>
      </c>
      <c r="U89" s="3">
        <v>246.14</v>
      </c>
      <c r="V89" s="1" t="s">
        <v>31</v>
      </c>
      <c r="X89" s="4"/>
      <c r="Y89" s="2">
        <f t="shared" si="2"/>
        <v>0.1775465320456541</v>
      </c>
      <c r="Z89" t="s">
        <v>29</v>
      </c>
    </row>
    <row r="90" spans="1:26" x14ac:dyDescent="0.35">
      <c r="A90" t="s">
        <v>120</v>
      </c>
      <c r="B90" t="s">
        <v>108</v>
      </c>
      <c r="C90" t="s">
        <v>200</v>
      </c>
      <c r="D90" t="s">
        <v>51</v>
      </c>
      <c r="E90" t="s">
        <v>36</v>
      </c>
      <c r="F90">
        <v>1</v>
      </c>
      <c r="J90">
        <v>48</v>
      </c>
      <c r="K90" t="s">
        <v>121</v>
      </c>
      <c r="L90">
        <v>2025</v>
      </c>
      <c r="M90">
        <v>13612</v>
      </c>
      <c r="N90" t="s">
        <v>23</v>
      </c>
      <c r="O90">
        <v>0.34</v>
      </c>
      <c r="Q90" t="s">
        <v>29</v>
      </c>
      <c r="R90">
        <v>99.527645300413013</v>
      </c>
      <c r="S90" s="3" t="s">
        <v>30</v>
      </c>
      <c r="T90" s="4">
        <v>46006</v>
      </c>
      <c r="U90" s="3">
        <v>247.96</v>
      </c>
      <c r="V90" s="1" t="s">
        <v>31</v>
      </c>
      <c r="X90" s="4"/>
      <c r="Y90" s="2">
        <f t="shared" si="2"/>
        <v>0.34161362802641237</v>
      </c>
      <c r="Z90" t="s">
        <v>29</v>
      </c>
    </row>
    <row r="91" spans="1:26" x14ac:dyDescent="0.35">
      <c r="A91" t="s">
        <v>120</v>
      </c>
      <c r="B91" t="s">
        <v>108</v>
      </c>
      <c r="C91" t="s">
        <v>200</v>
      </c>
      <c r="D91" t="s">
        <v>51</v>
      </c>
      <c r="E91" t="s">
        <v>36</v>
      </c>
      <c r="F91">
        <v>2</v>
      </c>
      <c r="J91">
        <v>48</v>
      </c>
      <c r="K91" t="s">
        <v>174</v>
      </c>
      <c r="L91">
        <v>2025</v>
      </c>
      <c r="M91">
        <v>13613</v>
      </c>
      <c r="N91" t="s">
        <v>23</v>
      </c>
      <c r="O91">
        <v>0.182</v>
      </c>
      <c r="Q91" t="s">
        <v>29</v>
      </c>
      <c r="R91">
        <v>99.63959598406953</v>
      </c>
      <c r="S91" s="3" t="s">
        <v>30</v>
      </c>
      <c r="T91" s="4">
        <v>46006</v>
      </c>
      <c r="U91" s="3">
        <v>247.96</v>
      </c>
      <c r="V91" s="1" t="s">
        <v>31</v>
      </c>
      <c r="X91" s="4"/>
      <c r="Y91" s="2">
        <f t="shared" si="2"/>
        <v>0.18265830787701942</v>
      </c>
      <c r="Z91" t="s">
        <v>29</v>
      </c>
    </row>
    <row r="92" spans="1:26" x14ac:dyDescent="0.35">
      <c r="A92" t="s">
        <v>122</v>
      </c>
      <c r="B92" t="s">
        <v>108</v>
      </c>
      <c r="C92" t="s">
        <v>201</v>
      </c>
      <c r="D92" t="s">
        <v>26</v>
      </c>
      <c r="E92" t="s">
        <v>27</v>
      </c>
      <c r="F92">
        <v>1</v>
      </c>
      <c r="J92">
        <v>48</v>
      </c>
      <c r="K92" t="s">
        <v>123</v>
      </c>
      <c r="L92">
        <v>2025</v>
      </c>
      <c r="M92">
        <v>13626</v>
      </c>
      <c r="N92" t="s">
        <v>23</v>
      </c>
      <c r="O92">
        <v>0.47499999999999998</v>
      </c>
      <c r="Q92" t="s">
        <v>29</v>
      </c>
      <c r="R92">
        <v>99.097816703241676</v>
      </c>
      <c r="S92" s="3" t="s">
        <v>30</v>
      </c>
      <c r="T92" s="4">
        <v>46006</v>
      </c>
      <c r="U92" s="3">
        <v>247.88</v>
      </c>
      <c r="V92" s="1" t="s">
        <v>31</v>
      </c>
      <c r="X92" s="4"/>
      <c r="Y92" s="2">
        <f t="shared" si="2"/>
        <v>0.47932438453456044</v>
      </c>
      <c r="Z92" t="s">
        <v>29</v>
      </c>
    </row>
    <row r="93" spans="1:26" x14ac:dyDescent="0.35">
      <c r="A93" t="s">
        <v>122</v>
      </c>
      <c r="B93" t="s">
        <v>108</v>
      </c>
      <c r="C93" t="s">
        <v>201</v>
      </c>
      <c r="D93" t="s">
        <v>26</v>
      </c>
      <c r="E93" t="s">
        <v>27</v>
      </c>
      <c r="F93">
        <v>2</v>
      </c>
      <c r="J93">
        <v>48</v>
      </c>
      <c r="K93" t="s">
        <v>175</v>
      </c>
      <c r="L93">
        <v>2025</v>
      </c>
      <c r="M93">
        <v>13627</v>
      </c>
      <c r="N93" t="s">
        <v>23</v>
      </c>
      <c r="O93">
        <v>0.255</v>
      </c>
      <c r="Q93" t="s">
        <v>29</v>
      </c>
      <c r="R93">
        <v>99.334057184220043</v>
      </c>
      <c r="S93" s="3" t="s">
        <v>30</v>
      </c>
      <c r="T93" s="4">
        <v>46006</v>
      </c>
      <c r="U93" s="3">
        <v>247.88</v>
      </c>
      <c r="V93" s="1" t="s">
        <v>31</v>
      </c>
      <c r="X93" s="4"/>
      <c r="Y93" s="2">
        <f t="shared" si="2"/>
        <v>0.25670953873059826</v>
      </c>
      <c r="Z93" t="s">
        <v>29</v>
      </c>
    </row>
    <row r="94" spans="1:26" x14ac:dyDescent="0.35">
      <c r="A94" t="s">
        <v>124</v>
      </c>
      <c r="B94" t="s">
        <v>108</v>
      </c>
      <c r="C94" t="s">
        <v>201</v>
      </c>
      <c r="D94" t="s">
        <v>26</v>
      </c>
      <c r="E94" t="s">
        <v>33</v>
      </c>
      <c r="F94">
        <v>1</v>
      </c>
      <c r="J94">
        <v>48</v>
      </c>
      <c r="K94" t="s">
        <v>125</v>
      </c>
      <c r="L94">
        <v>2025</v>
      </c>
      <c r="M94">
        <v>13628</v>
      </c>
      <c r="N94" t="s">
        <v>23</v>
      </c>
      <c r="O94">
        <v>0.439</v>
      </c>
      <c r="Q94" t="s">
        <v>29</v>
      </c>
      <c r="R94">
        <v>99.113856672689252</v>
      </c>
      <c r="S94" s="3" t="s">
        <v>30</v>
      </c>
      <c r="T94" s="4">
        <v>46006</v>
      </c>
      <c r="U94" s="3">
        <v>252.81</v>
      </c>
      <c r="V94" s="1" t="s">
        <v>31</v>
      </c>
      <c r="X94" s="4"/>
      <c r="Y94" s="2">
        <f t="shared" si="2"/>
        <v>0.44292494988843079</v>
      </c>
      <c r="Z94" t="s">
        <v>29</v>
      </c>
    </row>
    <row r="95" spans="1:26" x14ac:dyDescent="0.35">
      <c r="A95" t="s">
        <v>124</v>
      </c>
      <c r="B95" t="s">
        <v>108</v>
      </c>
      <c r="C95" t="s">
        <v>201</v>
      </c>
      <c r="D95" t="s">
        <v>26</v>
      </c>
      <c r="E95" t="s">
        <v>33</v>
      </c>
      <c r="F95">
        <v>2</v>
      </c>
      <c r="J95">
        <v>48</v>
      </c>
      <c r="K95" t="s">
        <v>176</v>
      </c>
      <c r="L95">
        <v>2025</v>
      </c>
      <c r="M95">
        <v>13629</v>
      </c>
      <c r="N95" t="s">
        <v>23</v>
      </c>
      <c r="O95">
        <v>0.34399999999999997</v>
      </c>
      <c r="Q95" t="s">
        <v>29</v>
      </c>
      <c r="R95">
        <v>99.564848147786293</v>
      </c>
      <c r="S95" s="3" t="s">
        <v>30</v>
      </c>
      <c r="T95" s="4">
        <v>46006</v>
      </c>
      <c r="U95" s="3">
        <v>252.81</v>
      </c>
      <c r="V95" s="1" t="s">
        <v>31</v>
      </c>
      <c r="X95" s="4"/>
      <c r="Y95" s="2">
        <f t="shared" si="2"/>
        <v>0.34550346472621868</v>
      </c>
      <c r="Z95" t="s">
        <v>29</v>
      </c>
    </row>
    <row r="96" spans="1:26" x14ac:dyDescent="0.35">
      <c r="A96" t="s">
        <v>126</v>
      </c>
      <c r="B96" t="s">
        <v>108</v>
      </c>
      <c r="C96" t="s">
        <v>201</v>
      </c>
      <c r="D96" t="s">
        <v>26</v>
      </c>
      <c r="E96" t="s">
        <v>36</v>
      </c>
      <c r="F96">
        <v>1</v>
      </c>
      <c r="J96">
        <v>48</v>
      </c>
      <c r="K96" t="s">
        <v>127</v>
      </c>
      <c r="L96">
        <v>2025</v>
      </c>
      <c r="M96">
        <v>13630</v>
      </c>
      <c r="N96" t="s">
        <v>23</v>
      </c>
      <c r="O96">
        <v>0.34100000000000003</v>
      </c>
      <c r="Q96" t="s">
        <v>29</v>
      </c>
      <c r="R96">
        <v>98.887960546259819</v>
      </c>
      <c r="S96" s="3" t="s">
        <v>30</v>
      </c>
      <c r="T96" s="4">
        <v>46006</v>
      </c>
      <c r="U96" s="3">
        <v>249.13</v>
      </c>
      <c r="V96" s="1" t="s">
        <v>31</v>
      </c>
      <c r="X96" s="4"/>
      <c r="Y96" s="2">
        <f t="shared" si="2"/>
        <v>0.34483469789073068</v>
      </c>
      <c r="Z96" t="s">
        <v>29</v>
      </c>
    </row>
    <row r="97" spans="1:26" x14ac:dyDescent="0.35">
      <c r="A97" t="s">
        <v>126</v>
      </c>
      <c r="B97" t="s">
        <v>108</v>
      </c>
      <c r="C97" t="s">
        <v>201</v>
      </c>
      <c r="D97" t="s">
        <v>26</v>
      </c>
      <c r="E97" t="s">
        <v>36</v>
      </c>
      <c r="F97">
        <v>2</v>
      </c>
      <c r="J97">
        <v>48</v>
      </c>
      <c r="K97" t="s">
        <v>177</v>
      </c>
      <c r="L97">
        <v>2025</v>
      </c>
      <c r="M97">
        <v>13631</v>
      </c>
      <c r="N97" t="s">
        <v>23</v>
      </c>
      <c r="O97">
        <v>0.219</v>
      </c>
      <c r="Q97" t="s">
        <v>29</v>
      </c>
      <c r="R97">
        <v>99.683513523624285</v>
      </c>
      <c r="S97" s="3" t="s">
        <v>30</v>
      </c>
      <c r="T97" s="4">
        <v>46006</v>
      </c>
      <c r="U97" s="3">
        <v>249.13</v>
      </c>
      <c r="V97" s="1" t="s">
        <v>31</v>
      </c>
      <c r="X97" s="4"/>
      <c r="Y97" s="2">
        <f t="shared" si="2"/>
        <v>0.21969530593250863</v>
      </c>
      <c r="Z97" t="s">
        <v>29</v>
      </c>
    </row>
    <row r="98" spans="1:26" x14ac:dyDescent="0.35">
      <c r="A98" t="s">
        <v>202</v>
      </c>
      <c r="B98" t="s">
        <v>108</v>
      </c>
      <c r="C98" t="s">
        <v>208</v>
      </c>
      <c r="D98" t="s">
        <v>51</v>
      </c>
      <c r="E98" t="s">
        <v>27</v>
      </c>
      <c r="F98">
        <v>1</v>
      </c>
      <c r="J98">
        <v>48</v>
      </c>
      <c r="K98" t="s">
        <v>128</v>
      </c>
      <c r="L98">
        <v>2025</v>
      </c>
      <c r="M98">
        <v>13614</v>
      </c>
      <c r="N98" t="s">
        <v>23</v>
      </c>
      <c r="O98">
        <v>0.29499999999999998</v>
      </c>
      <c r="Q98" t="s">
        <v>29</v>
      </c>
      <c r="R98">
        <v>99.634269534504767</v>
      </c>
      <c r="S98" s="3" t="s">
        <v>30</v>
      </c>
      <c r="T98" s="4">
        <v>46006</v>
      </c>
      <c r="U98" s="3">
        <v>250.08</v>
      </c>
      <c r="V98" s="1" t="s">
        <v>31</v>
      </c>
      <c r="X98" s="4"/>
      <c r="Y98" s="2">
        <f t="shared" ref="Y98:Y109" si="3">(O98*100)/R98</f>
        <v>0.29608286524129862</v>
      </c>
      <c r="Z98" t="s">
        <v>29</v>
      </c>
    </row>
    <row r="99" spans="1:26" x14ac:dyDescent="0.35">
      <c r="A99" t="s">
        <v>202</v>
      </c>
      <c r="B99" t="s">
        <v>108</v>
      </c>
      <c r="C99" t="s">
        <v>208</v>
      </c>
      <c r="D99" t="s">
        <v>51</v>
      </c>
      <c r="E99" t="s">
        <v>27</v>
      </c>
      <c r="F99">
        <v>2</v>
      </c>
      <c r="J99">
        <v>48</v>
      </c>
      <c r="K99" t="s">
        <v>178</v>
      </c>
      <c r="L99">
        <v>2025</v>
      </c>
      <c r="M99">
        <v>13615</v>
      </c>
      <c r="N99" t="s">
        <v>23</v>
      </c>
      <c r="O99">
        <v>0.17499999999999999</v>
      </c>
      <c r="Q99" t="s">
        <v>29</v>
      </c>
      <c r="R99">
        <v>99.609715681144252</v>
      </c>
      <c r="S99" s="3" t="s">
        <v>30</v>
      </c>
      <c r="T99" s="4">
        <v>46006</v>
      </c>
      <c r="U99" s="3">
        <v>250.08</v>
      </c>
      <c r="V99" s="1" t="s">
        <v>31</v>
      </c>
      <c r="X99" s="4"/>
      <c r="Y99" s="2">
        <f t="shared" si="3"/>
        <v>0.17568567363467222</v>
      </c>
      <c r="Z99" t="s">
        <v>29</v>
      </c>
    </row>
    <row r="100" spans="1:26" x14ac:dyDescent="0.35">
      <c r="A100" t="s">
        <v>203</v>
      </c>
      <c r="B100" t="s">
        <v>108</v>
      </c>
      <c r="C100" t="s">
        <v>208</v>
      </c>
      <c r="D100" t="s">
        <v>51</v>
      </c>
      <c r="E100" t="s">
        <v>33</v>
      </c>
      <c r="F100">
        <v>1</v>
      </c>
      <c r="J100">
        <v>48</v>
      </c>
      <c r="K100" t="s">
        <v>129</v>
      </c>
      <c r="L100">
        <v>2025</v>
      </c>
      <c r="M100">
        <v>13616</v>
      </c>
      <c r="N100" t="s">
        <v>23</v>
      </c>
      <c r="O100">
        <v>0.191</v>
      </c>
      <c r="Q100" t="s">
        <v>29</v>
      </c>
      <c r="R100">
        <v>99.666040492590284</v>
      </c>
      <c r="S100" s="3" t="s">
        <v>30</v>
      </c>
      <c r="T100" s="4">
        <v>46006</v>
      </c>
      <c r="U100" s="3">
        <v>251.35</v>
      </c>
      <c r="V100" s="1" t="s">
        <v>31</v>
      </c>
      <c r="X100" s="4"/>
      <c r="Y100" s="2">
        <f t="shared" si="3"/>
        <v>0.19164</v>
      </c>
      <c r="Z100" t="s">
        <v>29</v>
      </c>
    </row>
    <row r="101" spans="1:26" x14ac:dyDescent="0.35">
      <c r="A101" t="s">
        <v>203</v>
      </c>
      <c r="B101" t="s">
        <v>108</v>
      </c>
      <c r="C101" t="s">
        <v>208</v>
      </c>
      <c r="D101" t="s">
        <v>51</v>
      </c>
      <c r="E101" t="s">
        <v>33</v>
      </c>
      <c r="F101">
        <v>2</v>
      </c>
      <c r="J101">
        <v>48</v>
      </c>
      <c r="K101" t="s">
        <v>179</v>
      </c>
      <c r="L101">
        <v>2025</v>
      </c>
      <c r="M101">
        <v>13617</v>
      </c>
      <c r="N101" t="s">
        <v>23</v>
      </c>
      <c r="O101">
        <v>0.152</v>
      </c>
      <c r="Q101" t="s">
        <v>29</v>
      </c>
      <c r="R101">
        <v>99.512294382524004</v>
      </c>
      <c r="S101" s="3" t="s">
        <v>30</v>
      </c>
      <c r="T101" s="4">
        <v>46006</v>
      </c>
      <c r="U101" s="3">
        <v>251.35</v>
      </c>
      <c r="V101" s="1" t="s">
        <v>31</v>
      </c>
      <c r="X101" s="4"/>
      <c r="Y101" s="2">
        <f t="shared" si="3"/>
        <v>0.15274494568049443</v>
      </c>
      <c r="Z101" t="s">
        <v>29</v>
      </c>
    </row>
    <row r="102" spans="1:26" x14ac:dyDescent="0.35">
      <c r="A102" t="s">
        <v>204</v>
      </c>
      <c r="B102" t="s">
        <v>108</v>
      </c>
      <c r="C102" t="s">
        <v>208</v>
      </c>
      <c r="D102" t="s">
        <v>51</v>
      </c>
      <c r="E102" t="s">
        <v>36</v>
      </c>
      <c r="F102">
        <v>1</v>
      </c>
      <c r="J102">
        <v>48</v>
      </c>
      <c r="K102" t="s">
        <v>130</v>
      </c>
      <c r="L102">
        <v>2025</v>
      </c>
      <c r="M102">
        <v>13618</v>
      </c>
      <c r="N102" t="s">
        <v>23</v>
      </c>
      <c r="O102">
        <v>0.14799999999999999</v>
      </c>
      <c r="Q102" t="s">
        <v>29</v>
      </c>
      <c r="R102">
        <v>99.610717594668102</v>
      </c>
      <c r="S102" s="3" t="s">
        <v>30</v>
      </c>
      <c r="T102" s="4">
        <v>46006</v>
      </c>
      <c r="U102" s="3">
        <v>251.37</v>
      </c>
      <c r="V102" s="1" t="s">
        <v>31</v>
      </c>
      <c r="X102" s="4"/>
      <c r="Y102" s="2">
        <f t="shared" si="3"/>
        <v>0.14857838952856017</v>
      </c>
      <c r="Z102" t="s">
        <v>29</v>
      </c>
    </row>
    <row r="103" spans="1:26" x14ac:dyDescent="0.35">
      <c r="A103" t="s">
        <v>204</v>
      </c>
      <c r="B103" t="s">
        <v>108</v>
      </c>
      <c r="C103" t="s">
        <v>208</v>
      </c>
      <c r="D103" t="s">
        <v>51</v>
      </c>
      <c r="E103" t="s">
        <v>36</v>
      </c>
      <c r="F103">
        <v>2</v>
      </c>
      <c r="J103">
        <v>48</v>
      </c>
      <c r="K103" t="s">
        <v>180</v>
      </c>
      <c r="L103">
        <v>2025</v>
      </c>
      <c r="M103">
        <v>13619</v>
      </c>
      <c r="N103" t="s">
        <v>23</v>
      </c>
      <c r="O103">
        <v>0.112</v>
      </c>
      <c r="Q103" t="s">
        <v>29</v>
      </c>
      <c r="R103">
        <v>99.730674929679168</v>
      </c>
      <c r="S103" s="3" t="s">
        <v>30</v>
      </c>
      <c r="T103" s="4">
        <v>46006</v>
      </c>
      <c r="U103" s="3">
        <v>251.37</v>
      </c>
      <c r="V103" s="1" t="s">
        <v>31</v>
      </c>
      <c r="X103" s="4"/>
      <c r="Y103" s="2">
        <f t="shared" si="3"/>
        <v>0.11230245867580063</v>
      </c>
      <c r="Z103" t="s">
        <v>29</v>
      </c>
    </row>
    <row r="104" spans="1:26" x14ac:dyDescent="0.35">
      <c r="A104" t="s">
        <v>205</v>
      </c>
      <c r="B104" t="s">
        <v>108</v>
      </c>
      <c r="C104" t="s">
        <v>209</v>
      </c>
      <c r="D104" t="s">
        <v>26</v>
      </c>
      <c r="E104" t="s">
        <v>27</v>
      </c>
      <c r="F104">
        <v>1</v>
      </c>
      <c r="J104">
        <v>48</v>
      </c>
      <c r="K104" t="s">
        <v>131</v>
      </c>
      <c r="L104">
        <v>2025</v>
      </c>
      <c r="M104">
        <v>13632</v>
      </c>
      <c r="N104" t="s">
        <v>23</v>
      </c>
      <c r="O104">
        <v>0.23400000000000001</v>
      </c>
      <c r="Q104" t="s">
        <v>29</v>
      </c>
      <c r="R104">
        <v>99.676109734618947</v>
      </c>
      <c r="S104" s="3" t="s">
        <v>30</v>
      </c>
      <c r="T104" s="4">
        <v>46006</v>
      </c>
      <c r="U104" s="3">
        <v>254.25</v>
      </c>
      <c r="V104" s="1" t="s">
        <v>31</v>
      </c>
      <c r="X104" s="4"/>
      <c r="Y104" s="2">
        <f t="shared" si="3"/>
        <v>0.23476036597235742</v>
      </c>
      <c r="Z104" t="s">
        <v>29</v>
      </c>
    </row>
    <row r="105" spans="1:26" x14ac:dyDescent="0.35">
      <c r="A105" t="s">
        <v>205</v>
      </c>
      <c r="B105" t="s">
        <v>108</v>
      </c>
      <c r="C105" t="s">
        <v>209</v>
      </c>
      <c r="D105" t="s">
        <v>26</v>
      </c>
      <c r="E105" t="s">
        <v>27</v>
      </c>
      <c r="F105">
        <v>2</v>
      </c>
      <c r="J105">
        <v>48</v>
      </c>
      <c r="K105" t="s">
        <v>181</v>
      </c>
      <c r="L105">
        <v>2025</v>
      </c>
      <c r="M105">
        <v>13633</v>
      </c>
      <c r="N105" t="s">
        <v>23</v>
      </c>
      <c r="O105">
        <v>0.18099999999999999</v>
      </c>
      <c r="Q105" t="s">
        <v>29</v>
      </c>
      <c r="R105">
        <v>99.546229771339938</v>
      </c>
      <c r="S105" s="3" t="s">
        <v>30</v>
      </c>
      <c r="T105" s="4">
        <v>46006</v>
      </c>
      <c r="U105" s="3">
        <v>254.25</v>
      </c>
      <c r="V105" s="1" t="s">
        <v>31</v>
      </c>
      <c r="X105" s="4"/>
      <c r="Y105" s="2">
        <f t="shared" si="3"/>
        <v>0.18182506802694717</v>
      </c>
      <c r="Z105" t="s">
        <v>29</v>
      </c>
    </row>
    <row r="106" spans="1:26" x14ac:dyDescent="0.35">
      <c r="A106" t="s">
        <v>206</v>
      </c>
      <c r="B106" t="s">
        <v>108</v>
      </c>
      <c r="C106" t="s">
        <v>209</v>
      </c>
      <c r="D106" t="s">
        <v>26</v>
      </c>
      <c r="E106" t="s">
        <v>33</v>
      </c>
      <c r="F106">
        <v>1</v>
      </c>
      <c r="J106">
        <v>48</v>
      </c>
      <c r="K106" t="s">
        <v>132</v>
      </c>
      <c r="L106">
        <v>2025</v>
      </c>
      <c r="M106">
        <v>13634</v>
      </c>
      <c r="N106" t="s">
        <v>23</v>
      </c>
      <c r="O106">
        <v>0.20300000000000001</v>
      </c>
      <c r="Q106" t="s">
        <v>29</v>
      </c>
      <c r="R106">
        <v>99.425813491918191</v>
      </c>
      <c r="S106" s="3" t="s">
        <v>30</v>
      </c>
      <c r="T106" s="4">
        <v>46006</v>
      </c>
      <c r="U106" s="3">
        <v>252.91</v>
      </c>
      <c r="V106" s="1" t="s">
        <v>31</v>
      </c>
      <c r="X106" s="4"/>
      <c r="Y106" s="2">
        <f t="shared" si="3"/>
        <v>0.20417232997193513</v>
      </c>
      <c r="Z106" t="s">
        <v>29</v>
      </c>
    </row>
    <row r="107" spans="1:26" x14ac:dyDescent="0.35">
      <c r="A107" t="s">
        <v>206</v>
      </c>
      <c r="B107" t="s">
        <v>108</v>
      </c>
      <c r="C107" t="s">
        <v>209</v>
      </c>
      <c r="D107" t="s">
        <v>26</v>
      </c>
      <c r="E107" t="s">
        <v>33</v>
      </c>
      <c r="F107">
        <v>2</v>
      </c>
      <c r="J107">
        <v>48</v>
      </c>
      <c r="K107" t="s">
        <v>182</v>
      </c>
      <c r="L107">
        <v>2025</v>
      </c>
      <c r="M107">
        <v>13635</v>
      </c>
      <c r="N107" t="s">
        <v>23</v>
      </c>
      <c r="O107">
        <v>0.27300000000000002</v>
      </c>
      <c r="Q107" t="s">
        <v>29</v>
      </c>
      <c r="R107">
        <v>98.962287459850415</v>
      </c>
      <c r="S107" s="3" t="s">
        <v>30</v>
      </c>
      <c r="T107" s="4">
        <v>46006</v>
      </c>
      <c r="U107" s="3">
        <v>252.91</v>
      </c>
      <c r="V107" s="1" t="s">
        <v>31</v>
      </c>
      <c r="X107" s="4"/>
      <c r="Y107" s="2">
        <f t="shared" si="3"/>
        <v>0.27586266143126259</v>
      </c>
      <c r="Z107" t="s">
        <v>29</v>
      </c>
    </row>
    <row r="108" spans="1:26" x14ac:dyDescent="0.35">
      <c r="A108" t="s">
        <v>207</v>
      </c>
      <c r="B108" t="s">
        <v>108</v>
      </c>
      <c r="C108" t="s">
        <v>209</v>
      </c>
      <c r="D108" t="s">
        <v>26</v>
      </c>
      <c r="E108" t="s">
        <v>36</v>
      </c>
      <c r="F108">
        <v>1</v>
      </c>
      <c r="J108">
        <v>48</v>
      </c>
      <c r="K108" t="s">
        <v>133</v>
      </c>
      <c r="L108">
        <v>2025</v>
      </c>
      <c r="M108">
        <v>13636</v>
      </c>
      <c r="N108" t="s">
        <v>23</v>
      </c>
      <c r="O108">
        <v>0.48299999999999998</v>
      </c>
      <c r="Q108" t="s">
        <v>29</v>
      </c>
      <c r="R108">
        <v>99.506609569912499</v>
      </c>
      <c r="S108" s="3" t="s">
        <v>30</v>
      </c>
      <c r="T108" s="4">
        <v>46006</v>
      </c>
      <c r="U108" s="3">
        <v>247.15</v>
      </c>
      <c r="V108" s="1" t="s">
        <v>31</v>
      </c>
      <c r="X108" s="4"/>
      <c r="Y108" s="2">
        <f t="shared" si="3"/>
        <v>0.48539489194499014</v>
      </c>
      <c r="Z108" t="s">
        <v>29</v>
      </c>
    </row>
    <row r="109" spans="1:26" x14ac:dyDescent="0.35">
      <c r="A109" t="s">
        <v>207</v>
      </c>
      <c r="B109" t="s">
        <v>108</v>
      </c>
      <c r="C109" t="s">
        <v>209</v>
      </c>
      <c r="D109" t="s">
        <v>26</v>
      </c>
      <c r="E109" t="s">
        <v>36</v>
      </c>
      <c r="F109">
        <v>2</v>
      </c>
      <c r="J109">
        <v>48</v>
      </c>
      <c r="K109" t="s">
        <v>183</v>
      </c>
      <c r="L109">
        <v>2025</v>
      </c>
      <c r="M109">
        <v>13637</v>
      </c>
      <c r="N109" t="s">
        <v>23</v>
      </c>
      <c r="O109">
        <v>0.183</v>
      </c>
      <c r="Q109" t="s">
        <v>29</v>
      </c>
      <c r="R109">
        <v>99.681175592542417</v>
      </c>
      <c r="S109" s="3" t="s">
        <v>30</v>
      </c>
      <c r="T109" s="4">
        <v>46006</v>
      </c>
      <c r="U109" s="3">
        <v>247.15</v>
      </c>
      <c r="V109" s="1" t="s">
        <v>31</v>
      </c>
      <c r="X109" s="4"/>
      <c r="Y109" s="2">
        <f t="shared" si="3"/>
        <v>0.18358531479206494</v>
      </c>
      <c r="Z109" t="s">
        <v>29</v>
      </c>
    </row>
    <row r="110" spans="1:26" x14ac:dyDescent="0.35">
      <c r="V110" s="1"/>
    </row>
    <row r="111" spans="1:26" x14ac:dyDescent="0.35">
      <c r="V111" s="1"/>
    </row>
    <row r="112" spans="1:26" x14ac:dyDescent="0.35">
      <c r="V112" s="1"/>
    </row>
    <row r="113" spans="22:22" x14ac:dyDescent="0.35">
      <c r="V113" s="1"/>
    </row>
    <row r="114" spans="22:22" x14ac:dyDescent="0.35">
      <c r="V114" s="1"/>
    </row>
    <row r="115" spans="22:22" x14ac:dyDescent="0.35">
      <c r="V115" s="1"/>
    </row>
  </sheetData>
  <sortState xmlns:xlrd2="http://schemas.microsoft.com/office/spreadsheetml/2017/richdata2" ref="A2:AA115">
    <sortCondition ref="A2:A1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Badia Lloveras</dc:creator>
  <cp:lastModifiedBy>Blanca Badia Lloveras</cp:lastModifiedBy>
  <dcterms:created xsi:type="dcterms:W3CDTF">2026-04-14T10:23:28Z</dcterms:created>
  <dcterms:modified xsi:type="dcterms:W3CDTF">2026-04-20T08:40:00Z</dcterms:modified>
</cp:coreProperties>
</file>