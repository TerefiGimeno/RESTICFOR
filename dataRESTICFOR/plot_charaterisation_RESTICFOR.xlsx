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af-my.sharepoint.com/personal/t_gimeno_creaf_uab_cat/Documents/terefi/repo/RESTICFOR/dataRESTICFOR/"/>
    </mc:Choice>
  </mc:AlternateContent>
  <xr:revisionPtr revIDLastSave="189" documentId="13_ncr:1_{0F1814C2-5E4F-42CC-AC2E-D92458D70243}" xr6:coauthVersionLast="47" xr6:coauthVersionMax="47" xr10:uidLastSave="{16BC01E7-7C3B-443D-B799-FC4AF6C6BCCF}"/>
  <bookViews>
    <workbookView xWindow="-120" yWindow="-120" windowWidth="29040" windowHeight="15840" xr2:uid="{00000000-000D-0000-FFFF-FFFF00000000}"/>
  </bookViews>
  <sheets>
    <sheet name="plot_id" sheetId="4" r:id="rId1"/>
    <sheet name="shrubs" sheetId="2" r:id="rId2"/>
    <sheet name="trees" sheetId="3" r:id="rId3"/>
  </sheets>
  <definedNames>
    <definedName name="_xlnm._FilterDatabase" localSheetId="0" hidden="1">plot_id!$A$1:$S$31</definedName>
    <definedName name="_xlnm._FilterDatabase" localSheetId="2" hidden="1">trees!$A$1:$O$1423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23" i="3" l="1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3" i="3"/>
  <c r="E1392" i="3"/>
  <c r="E1391" i="3"/>
  <c r="E1390" i="3"/>
  <c r="E1389" i="3"/>
  <c r="E1388" i="3"/>
  <c r="E1387" i="3"/>
  <c r="E1386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1" i="3"/>
  <c r="E1370" i="3"/>
  <c r="E1369" i="3"/>
  <c r="E1368" i="3"/>
  <c r="E1366" i="3"/>
  <c r="E1365" i="3"/>
  <c r="E1363" i="3"/>
  <c r="E1362" i="3"/>
  <c r="E1361" i="3"/>
  <c r="E1360" i="3"/>
  <c r="E1359" i="3"/>
  <c r="E1358" i="3"/>
  <c r="E1357" i="3"/>
  <c r="E1356" i="3"/>
  <c r="E1354" i="3"/>
  <c r="E1353" i="3"/>
  <c r="E1351" i="3"/>
  <c r="E1350" i="3"/>
  <c r="E1349" i="3"/>
  <c r="E1348" i="3"/>
  <c r="E1347" i="3"/>
  <c r="E1346" i="3"/>
  <c r="E1345" i="3"/>
  <c r="E1344" i="3"/>
  <c r="E1343" i="3"/>
  <c r="E1341" i="3"/>
  <c r="E1340" i="3"/>
  <c r="E1338" i="3"/>
  <c r="E1337" i="3"/>
  <c r="E1336" i="3"/>
  <c r="E1335" i="3"/>
  <c r="E1334" i="3"/>
  <c r="E1333" i="3"/>
  <c r="E1332" i="3"/>
  <c r="E1331" i="3"/>
  <c r="E1329" i="3"/>
  <c r="E1326" i="3"/>
  <c r="E1325" i="3"/>
  <c r="E1324" i="3"/>
  <c r="E1323" i="3"/>
  <c r="E1321" i="3"/>
  <c r="E1319" i="3"/>
  <c r="E1317" i="3"/>
  <c r="E1316" i="3"/>
  <c r="E1315" i="3"/>
  <c r="E1314" i="3"/>
  <c r="E1312" i="3"/>
  <c r="E1311" i="3"/>
  <c r="E1310" i="3"/>
  <c r="E1309" i="3"/>
  <c r="E1308" i="3"/>
  <c r="E1306" i="3"/>
  <c r="E1305" i="3"/>
  <c r="E1304" i="3"/>
  <c r="E1303" i="3"/>
  <c r="E1302" i="3"/>
  <c r="E1301" i="3"/>
  <c r="E1300" i="3"/>
  <c r="E1299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6" i="3"/>
  <c r="E1225" i="3"/>
  <c r="E1224" i="3"/>
  <c r="E1223" i="3"/>
  <c r="E1222" i="3"/>
  <c r="E1221" i="3"/>
  <c r="E1220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8" i="3"/>
  <c r="E1197" i="3"/>
  <c r="E1196" i="3"/>
  <c r="E1195" i="3"/>
  <c r="E1193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4" i="3"/>
  <c r="E1163" i="3"/>
  <c r="E1162" i="3"/>
  <c r="E1160" i="3"/>
  <c r="E1159" i="3"/>
  <c r="E1158" i="3"/>
  <c r="E1157" i="3"/>
  <c r="E1156" i="3"/>
  <c r="E1154" i="3"/>
  <c r="E1153" i="3"/>
  <c r="E1152" i="3"/>
  <c r="E1151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0" i="3"/>
  <c r="E1128" i="3"/>
  <c r="E1126" i="3"/>
  <c r="E1125" i="3"/>
  <c r="E1124" i="3"/>
  <c r="E1123" i="3"/>
  <c r="E1122" i="3"/>
  <c r="E1120" i="3"/>
  <c r="E1119" i="3"/>
  <c r="E1118" i="3"/>
  <c r="E1115" i="3"/>
  <c r="E1114" i="3"/>
  <c r="E1113" i="3"/>
  <c r="E1112" i="3"/>
  <c r="E1111" i="3"/>
  <c r="E1110" i="3"/>
  <c r="E1109" i="3"/>
  <c r="E1108" i="3"/>
  <c r="E1107" i="3"/>
  <c r="E1106" i="3"/>
  <c r="E1105" i="3"/>
  <c r="E1103" i="3"/>
  <c r="E1102" i="3"/>
  <c r="E1101" i="3"/>
  <c r="E1100" i="3"/>
  <c r="E1099" i="3"/>
  <c r="E1098" i="3"/>
  <c r="E1096" i="3"/>
  <c r="E1095" i="3"/>
  <c r="E1094" i="3"/>
  <c r="E1093" i="3"/>
  <c r="E1089" i="3"/>
  <c r="E1087" i="3"/>
  <c r="E1086" i="3"/>
  <c r="E1085" i="3"/>
  <c r="E1084" i="3"/>
  <c r="E1082" i="3"/>
  <c r="E1080" i="3"/>
  <c r="E1079" i="3"/>
  <c r="E1078" i="3"/>
  <c r="E1077" i="3"/>
  <c r="E1072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59" i="3"/>
  <c r="E858" i="3"/>
  <c r="E857" i="3"/>
  <c r="E856" i="3"/>
  <c r="E855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4" i="3"/>
  <c r="E403" i="3"/>
  <c r="E402" i="3"/>
  <c r="E401" i="3"/>
  <c r="E400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1" i="3"/>
  <c r="E380" i="3"/>
  <c r="E378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1" i="3"/>
  <c r="E190" i="3"/>
  <c r="E189" i="3"/>
  <c r="E188" i="3"/>
  <c r="E187" i="3"/>
  <c r="E186" i="3"/>
  <c r="E185" i="3"/>
  <c r="E184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1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2" i="3"/>
  <c r="E121" i="3"/>
  <c r="E120" i="3"/>
  <c r="E119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1191" i="3"/>
  <c r="O1191" i="3"/>
  <c r="D1190" i="3"/>
  <c r="D61" i="3"/>
  <c r="D62" i="3"/>
  <c r="D97" i="3"/>
  <c r="D118" i="3"/>
  <c r="D123" i="3"/>
  <c r="D140" i="3"/>
  <c r="D142" i="3"/>
  <c r="D158" i="3"/>
  <c r="D183" i="3"/>
  <c r="D192" i="3"/>
  <c r="D277" i="3"/>
  <c r="D345" i="3"/>
  <c r="D377" i="3"/>
  <c r="D379" i="3"/>
  <c r="D382" i="3"/>
  <c r="D383" i="3"/>
  <c r="D384" i="3"/>
  <c r="D385" i="3"/>
  <c r="D399" i="3"/>
  <c r="D405" i="3"/>
  <c r="D454" i="3"/>
  <c r="D698" i="3"/>
  <c r="E698" i="3" s="1"/>
  <c r="D854" i="3"/>
  <c r="D860" i="3"/>
  <c r="D875" i="3"/>
  <c r="D961" i="3"/>
  <c r="D1071" i="3"/>
  <c r="D1073" i="3"/>
  <c r="D1074" i="3"/>
  <c r="D1075" i="3"/>
  <c r="D1076" i="3"/>
  <c r="D1081" i="3"/>
  <c r="D1083" i="3"/>
  <c r="D1088" i="3"/>
  <c r="D1090" i="3"/>
  <c r="D1091" i="3"/>
  <c r="D1092" i="3"/>
  <c r="D1097" i="3"/>
  <c r="D1104" i="3"/>
  <c r="D1116" i="3"/>
  <c r="D1117" i="3"/>
  <c r="D1121" i="3"/>
  <c r="D1127" i="3"/>
  <c r="D1129" i="3"/>
  <c r="D1131" i="3"/>
  <c r="D1150" i="3"/>
  <c r="D1155" i="3"/>
  <c r="D1161" i="3"/>
  <c r="D1165" i="3"/>
  <c r="D1192" i="3"/>
  <c r="D1194" i="3"/>
  <c r="D1199" i="3"/>
  <c r="D1219" i="3"/>
  <c r="D1227" i="3"/>
  <c r="D1297" i="3"/>
  <c r="D1298" i="3"/>
  <c r="D1307" i="3"/>
  <c r="D1313" i="3"/>
  <c r="D1318" i="3"/>
  <c r="D1320" i="3"/>
  <c r="D1322" i="3"/>
  <c r="D1327" i="3"/>
  <c r="D1328" i="3"/>
  <c r="D1330" i="3"/>
  <c r="D1339" i="3"/>
  <c r="D1342" i="3"/>
  <c r="D1352" i="3"/>
  <c r="D1355" i="3"/>
  <c r="D1364" i="3"/>
  <c r="D1367" i="3"/>
  <c r="D1372" i="3"/>
  <c r="D1385" i="3"/>
  <c r="D1394" i="3"/>
  <c r="H30" i="4"/>
  <c r="H29" i="4"/>
  <c r="H26" i="4"/>
  <c r="H22" i="4"/>
  <c r="H25" i="4"/>
  <c r="H24" i="4"/>
  <c r="H23" i="4"/>
  <c r="H18" i="4"/>
  <c r="H15" i="4"/>
  <c r="H14" i="4"/>
  <c r="H13" i="4"/>
  <c r="H12" i="4"/>
  <c r="H8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</calcChain>
</file>

<file path=xl/sharedStrings.xml><?xml version="1.0" encoding="utf-8"?>
<sst xmlns="http://schemas.openxmlformats.org/spreadsheetml/2006/main" count="17270" uniqueCount="153">
  <si>
    <t>plotID</t>
  </si>
  <si>
    <t>site</t>
  </si>
  <si>
    <t>dominant_spp</t>
  </si>
  <si>
    <t>forest_type</t>
  </si>
  <si>
    <t>latitude</t>
  </si>
  <si>
    <t>longitude</t>
  </si>
  <si>
    <t>altitude</t>
  </si>
  <si>
    <t>slope_perc</t>
  </si>
  <si>
    <t>aspect</t>
  </si>
  <si>
    <t>date</t>
  </si>
  <si>
    <t>surveryor</t>
  </si>
  <si>
    <t>plot_area_m2</t>
  </si>
  <si>
    <t>rock_perc</t>
  </si>
  <si>
    <t>bare_soil_perc</t>
  </si>
  <si>
    <t>litter_perc</t>
  </si>
  <si>
    <t>herbs_perc</t>
  </si>
  <si>
    <t>moss_perc</t>
  </si>
  <si>
    <t>others_perc</t>
  </si>
  <si>
    <t>CT_17_LONG</t>
  </si>
  <si>
    <t>CT</t>
  </si>
  <si>
    <t xml:space="preserve">Quercus ilex </t>
  </si>
  <si>
    <t>LONG</t>
  </si>
  <si>
    <t>SE</t>
  </si>
  <si>
    <t>TEG, MCA</t>
  </si>
  <si>
    <t>CT_1A_PAST</t>
  </si>
  <si>
    <t>PAST</t>
  </si>
  <si>
    <t>S</t>
  </si>
  <si>
    <t>HT, JB</t>
  </si>
  <si>
    <t>CT_1B_PAST</t>
  </si>
  <si>
    <t>HT, ATB</t>
  </si>
  <si>
    <t>CT_2_PAST</t>
  </si>
  <si>
    <t>E</t>
  </si>
  <si>
    <t>HT, EM</t>
  </si>
  <si>
    <t>CT_3_PAST</t>
  </si>
  <si>
    <t>HT, MDG</t>
  </si>
  <si>
    <t>CT_5A_LONG</t>
  </si>
  <si>
    <t>SW</t>
  </si>
  <si>
    <t>CT_5B_LONG</t>
  </si>
  <si>
    <t>TEG, DCD</t>
  </si>
  <si>
    <t>CT_6_LONG</t>
  </si>
  <si>
    <t>CT_6_PAST</t>
  </si>
  <si>
    <t>CT_9_LONG</t>
  </si>
  <si>
    <t>NA</t>
  </si>
  <si>
    <t>SET_6A_PAST</t>
  </si>
  <si>
    <t>SET</t>
  </si>
  <si>
    <t>Pinus uncinata</t>
  </si>
  <si>
    <t>TEG, JME</t>
  </si>
  <si>
    <t>shrubs</t>
  </si>
  <si>
    <t>SET_6B_PAST</t>
  </si>
  <si>
    <t>TEG,JME</t>
  </si>
  <si>
    <t>SET_6C_PAST</t>
  </si>
  <si>
    <t>SET_9_LONG</t>
  </si>
  <si>
    <t>TEG,HT</t>
  </si>
  <si>
    <t>SET_13_PAST</t>
  </si>
  <si>
    <t>HT,ELLA</t>
  </si>
  <si>
    <t>dead wood</t>
  </si>
  <si>
    <t>SET_14_PAST</t>
  </si>
  <si>
    <t>SET_15_LONG</t>
  </si>
  <si>
    <t>TGE, PFC</t>
  </si>
  <si>
    <t>SET_16_LONG</t>
  </si>
  <si>
    <t>TGE, HT</t>
  </si>
  <si>
    <t>SET_16B_LONG</t>
  </si>
  <si>
    <t>W</t>
  </si>
  <si>
    <t>HT, TEG, JME</t>
  </si>
  <si>
    <t>SET_18_LONG</t>
  </si>
  <si>
    <t xml:space="preserve">HT,Ella </t>
  </si>
  <si>
    <t>SF_1_PAST</t>
  </si>
  <si>
    <t>SF</t>
  </si>
  <si>
    <t>Fagus sylvatica</t>
  </si>
  <si>
    <t>SF_4A_LONG</t>
  </si>
  <si>
    <t>SF_4B_LONG</t>
  </si>
  <si>
    <t>TEG, HT</t>
  </si>
  <si>
    <t>SF_5_LONG</t>
  </si>
  <si>
    <t>NW</t>
  </si>
  <si>
    <t>TEG,PFC</t>
  </si>
  <si>
    <t>Erica sp</t>
  </si>
  <si>
    <t>SF_5_PAST</t>
  </si>
  <si>
    <t>TEG</t>
  </si>
  <si>
    <t>SF_6_PAST</t>
  </si>
  <si>
    <t>NE</t>
  </si>
  <si>
    <t>HT,AT</t>
  </si>
  <si>
    <t>SF_7_LONG</t>
  </si>
  <si>
    <t>SF_7_PAST</t>
  </si>
  <si>
    <t>HT,PFC,SH,JB</t>
  </si>
  <si>
    <t>SF_8_LONG</t>
  </si>
  <si>
    <t>JME,TEG</t>
  </si>
  <si>
    <t>spp1_identity</t>
  </si>
  <si>
    <t>spp1_cover_perc</t>
  </si>
  <si>
    <t>spp2_identity</t>
  </si>
  <si>
    <t>spp2_cover_perc</t>
  </si>
  <si>
    <t>spp3_identity</t>
  </si>
  <si>
    <t>spp3_cover_perc</t>
  </si>
  <si>
    <t>spp4_identity</t>
  </si>
  <si>
    <t>spp4_cover</t>
  </si>
  <si>
    <t>spp5_identity</t>
  </si>
  <si>
    <t>spp5_cover</t>
  </si>
  <si>
    <t>Erica scoparia</t>
  </si>
  <si>
    <t>Rosa sp</t>
  </si>
  <si>
    <t>Rubus ulmifolius</t>
  </si>
  <si>
    <t>Rhamnus alaternus</t>
  </si>
  <si>
    <t>Clematis sp</t>
  </si>
  <si>
    <t>Quercus coccifera</t>
  </si>
  <si>
    <t>Juniperus</t>
  </si>
  <si>
    <t>Rubus</t>
  </si>
  <si>
    <t>Celtis sp</t>
  </si>
  <si>
    <t>Ulmus sp</t>
  </si>
  <si>
    <t>Crataegus monogyna</t>
  </si>
  <si>
    <t>Rubus sp</t>
  </si>
  <si>
    <t>Juniperus communis</t>
  </si>
  <si>
    <t>Genista sp</t>
  </si>
  <si>
    <t>Juniperus sp</t>
  </si>
  <si>
    <t>Rhododendron sp</t>
  </si>
  <si>
    <t>Buxus sp</t>
  </si>
  <si>
    <t>Ilex sp</t>
  </si>
  <si>
    <t>Vaccinium sp</t>
  </si>
  <si>
    <t>30-40</t>
  </si>
  <si>
    <t>Ilex aquifolium</t>
  </si>
  <si>
    <t>spp</t>
  </si>
  <si>
    <t>status_D_A</t>
  </si>
  <si>
    <t>observations</t>
  </si>
  <si>
    <t>Distance to the centre of plot</t>
  </si>
  <si>
    <t>A</t>
  </si>
  <si>
    <t xml:space="preserve">NA </t>
  </si>
  <si>
    <t>D</t>
  </si>
  <si>
    <t>2 stems</t>
  </si>
  <si>
    <t>3 stems</t>
  </si>
  <si>
    <t xml:space="preserve">2 stems </t>
  </si>
  <si>
    <t>Ulmus ?</t>
  </si>
  <si>
    <t>same stem</t>
  </si>
  <si>
    <t>6 stems</t>
  </si>
  <si>
    <t>Sorbus aucuparia</t>
  </si>
  <si>
    <t>Quercus pubescens</t>
  </si>
  <si>
    <t>4 stems</t>
  </si>
  <si>
    <t>Fraxinus excelsior</t>
  </si>
  <si>
    <t>Sorbus aria</t>
  </si>
  <si>
    <t>Castanea sativa</t>
  </si>
  <si>
    <t>5 stems</t>
  </si>
  <si>
    <t>8 stems</t>
  </si>
  <si>
    <t>7 stems</t>
  </si>
  <si>
    <t xml:space="preserve">6 stems </t>
  </si>
  <si>
    <t>Quercus ilex</t>
  </si>
  <si>
    <t>SF_9_PAST</t>
  </si>
  <si>
    <t>DBH_cm_summed</t>
  </si>
  <si>
    <t>DBH_1_cm</t>
  </si>
  <si>
    <t>DBH_2_cm</t>
  </si>
  <si>
    <t>DBH_3_cm</t>
  </si>
  <si>
    <t>DBH_4_cm</t>
  </si>
  <si>
    <t>DBH_5_cm</t>
  </si>
  <si>
    <t>DBH_6_cm</t>
  </si>
  <si>
    <t>DBH_7_cm</t>
  </si>
  <si>
    <t>DBH_8_cm</t>
  </si>
  <si>
    <t>others_comp</t>
  </si>
  <si>
    <t>HT,TEG, EM,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</si>
</sst>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0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242424"/>
      <name val="Calibri"/>
      <family val="2"/>
    </font>
    <font>
      <sz val="11"/>
      <color rgb="FF242424"/>
      <name val="Aptos Narrow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" fontId="2" fillId="0" borderId="0" xfId="0" applyNumberFormat="1" applyFont="1"/>
    <xf numFmtId="164" fontId="2" fillId="0" borderId="0" xfId="0" applyNumberFormat="1" applyFont="1"/>
    <xf numFmtId="2" fontId="4" fillId="0" borderId="0" xfId="0" applyNumberFormat="1" applyFont="1"/>
    <xf numFmtId="16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9" fillId="0" borderId="0" xfId="0" applyNumberFormat="1" applyFont="1"/>
    <xf numFmtId="2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BCF0-F6AB-4E7E-B087-24C4BDC9548F}">
  <dimension ref="A1:S31"/>
  <sheetViews>
    <sheetView tabSelected="1" zoomScale="79" workbookViewId="0">
      <selection activeCell="K24" sqref="K24"/>
    </sheetView>
  </sheetViews>
  <sheetFormatPr defaultColWidth="8.7109375" defaultRowHeight="15" x14ac:dyDescent="0.25"/>
  <cols>
    <col min="1" max="1" width="15.5703125" customWidth="1"/>
    <col min="3" max="3" width="17.7109375" customWidth="1"/>
    <col min="4" max="4" width="14" customWidth="1"/>
    <col min="5" max="5" width="11.7109375" style="3" customWidth="1"/>
    <col min="6" max="6" width="13.7109375" style="3" bestFit="1" customWidth="1"/>
    <col min="8" max="8" width="15.5703125" customWidth="1"/>
    <col min="10" max="10" width="10.42578125" bestFit="1" customWidth="1"/>
    <col min="11" max="11" width="18.85546875" customWidth="1"/>
    <col min="12" max="12" width="13.7109375" style="2" bestFit="1" customWidth="1"/>
    <col min="13" max="13" width="11" customWidth="1"/>
    <col min="14" max="14" width="14.140625" customWidth="1"/>
    <col min="15" max="15" width="10.42578125" customWidth="1"/>
    <col min="16" max="16" width="13.5703125" customWidth="1"/>
    <col min="17" max="17" width="11.28515625" customWidth="1"/>
    <col min="18" max="18" width="15" customWidth="1"/>
    <col min="19" max="19" width="18.140625" customWidth="1"/>
  </cols>
  <sheetData>
    <row r="1" spans="1:19" s="13" customForma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6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3" t="s">
        <v>151</v>
      </c>
    </row>
    <row r="2" spans="1:19" x14ac:dyDescent="0.25">
      <c r="A2" s="4" t="s">
        <v>18</v>
      </c>
      <c r="B2" s="4" t="s">
        <v>19</v>
      </c>
      <c r="C2" s="5" t="s">
        <v>20</v>
      </c>
      <c r="D2" s="4" t="s">
        <v>21</v>
      </c>
      <c r="E2" s="7">
        <v>41.779580000000003</v>
      </c>
      <c r="F2" s="7">
        <v>2.3510200000000001</v>
      </c>
      <c r="G2" s="4">
        <v>706</v>
      </c>
      <c r="H2" s="4">
        <v>25</v>
      </c>
      <c r="I2" s="4" t="s">
        <v>22</v>
      </c>
      <c r="J2" s="6">
        <v>45959</v>
      </c>
      <c r="K2" s="4" t="s">
        <v>23</v>
      </c>
      <c r="L2" s="8">
        <f t="shared" ref="L2:L11" si="0">PI()*10^2</f>
        <v>314.15926535897933</v>
      </c>
      <c r="M2" s="4">
        <v>10</v>
      </c>
      <c r="N2" s="4">
        <v>10</v>
      </c>
      <c r="O2" s="4">
        <v>80</v>
      </c>
      <c r="P2" s="4">
        <v>0</v>
      </c>
      <c r="Q2" s="4">
        <v>0</v>
      </c>
      <c r="R2" s="4">
        <v>0</v>
      </c>
      <c r="S2" t="s">
        <v>42</v>
      </c>
    </row>
    <row r="3" spans="1:19" x14ac:dyDescent="0.25">
      <c r="A3" t="s">
        <v>24</v>
      </c>
      <c r="B3" t="s">
        <v>19</v>
      </c>
      <c r="C3" s="5" t="s">
        <v>20</v>
      </c>
      <c r="D3" t="s">
        <v>25</v>
      </c>
      <c r="E3" s="3">
        <v>41.78492</v>
      </c>
      <c r="F3" s="3">
        <v>2.3570099999999998</v>
      </c>
      <c r="G3">
        <v>969</v>
      </c>
      <c r="H3">
        <v>5</v>
      </c>
      <c r="I3" t="s">
        <v>26</v>
      </c>
      <c r="J3" s="9">
        <v>45953</v>
      </c>
      <c r="K3" t="s">
        <v>27</v>
      </c>
      <c r="L3" s="8">
        <f t="shared" si="0"/>
        <v>314.15926535897933</v>
      </c>
      <c r="M3">
        <v>5</v>
      </c>
      <c r="N3">
        <v>20</v>
      </c>
      <c r="O3">
        <v>75</v>
      </c>
      <c r="P3">
        <v>5</v>
      </c>
      <c r="Q3">
        <v>0</v>
      </c>
      <c r="R3">
        <v>0</v>
      </c>
      <c r="S3" t="s">
        <v>42</v>
      </c>
    </row>
    <row r="4" spans="1:19" x14ac:dyDescent="0.25">
      <c r="A4" t="s">
        <v>28</v>
      </c>
      <c r="B4" s="4" t="s">
        <v>19</v>
      </c>
      <c r="C4" s="5" t="s">
        <v>20</v>
      </c>
      <c r="D4" t="s">
        <v>25</v>
      </c>
      <c r="E4" s="3">
        <v>41.784260000000003</v>
      </c>
      <c r="F4" s="3">
        <v>2.3570199999999999</v>
      </c>
      <c r="G4">
        <v>924</v>
      </c>
      <c r="H4">
        <v>15</v>
      </c>
      <c r="I4" t="s">
        <v>26</v>
      </c>
      <c r="J4" s="9">
        <v>46045</v>
      </c>
      <c r="K4" s="10" t="s">
        <v>29</v>
      </c>
      <c r="L4" s="8">
        <f t="shared" si="0"/>
        <v>314.15926535897933</v>
      </c>
      <c r="M4">
        <v>25</v>
      </c>
      <c r="N4">
        <v>5</v>
      </c>
      <c r="O4">
        <v>80</v>
      </c>
      <c r="P4">
        <v>0</v>
      </c>
      <c r="Q4">
        <v>0</v>
      </c>
      <c r="R4">
        <v>0</v>
      </c>
      <c r="S4" t="s">
        <v>42</v>
      </c>
    </row>
    <row r="5" spans="1:19" x14ac:dyDescent="0.25">
      <c r="A5" s="4" t="s">
        <v>30</v>
      </c>
      <c r="B5" s="4" t="s">
        <v>19</v>
      </c>
      <c r="C5" s="5" t="s">
        <v>20</v>
      </c>
      <c r="D5" s="4" t="s">
        <v>25</v>
      </c>
      <c r="E5" s="7">
        <v>41.780900000000003</v>
      </c>
      <c r="F5" s="3">
        <v>2.3539400000000001</v>
      </c>
      <c r="G5" s="4">
        <v>777</v>
      </c>
      <c r="H5" s="4">
        <v>5</v>
      </c>
      <c r="I5" s="4" t="s">
        <v>31</v>
      </c>
      <c r="J5" s="6">
        <v>45953</v>
      </c>
      <c r="K5" t="s">
        <v>32</v>
      </c>
      <c r="L5" s="2">
        <f t="shared" si="0"/>
        <v>314.15926535897933</v>
      </c>
      <c r="M5">
        <v>5</v>
      </c>
      <c r="N5">
        <v>5</v>
      </c>
      <c r="O5">
        <v>10</v>
      </c>
      <c r="P5">
        <v>0</v>
      </c>
      <c r="Q5">
        <v>0</v>
      </c>
      <c r="R5">
        <v>0</v>
      </c>
      <c r="S5" t="s">
        <v>42</v>
      </c>
    </row>
    <row r="6" spans="1:19" x14ac:dyDescent="0.25">
      <c r="A6" s="4" t="s">
        <v>33</v>
      </c>
      <c r="B6" s="4" t="s">
        <v>19</v>
      </c>
      <c r="C6" s="5" t="s">
        <v>20</v>
      </c>
      <c r="D6" s="4" t="s">
        <v>25</v>
      </c>
      <c r="E6" s="7">
        <v>41.783369999999998</v>
      </c>
      <c r="F6" s="7">
        <v>2.3544800000000001</v>
      </c>
      <c r="G6" s="4">
        <v>880</v>
      </c>
      <c r="H6" s="4">
        <v>5</v>
      </c>
      <c r="I6" s="4" t="s">
        <v>26</v>
      </c>
      <c r="J6" s="6">
        <v>45952</v>
      </c>
      <c r="K6" s="10" t="s">
        <v>34</v>
      </c>
      <c r="L6" s="2">
        <f t="shared" si="0"/>
        <v>314.15926535897933</v>
      </c>
      <c r="M6">
        <v>5</v>
      </c>
      <c r="N6">
        <v>1</v>
      </c>
      <c r="O6">
        <v>52</v>
      </c>
      <c r="P6">
        <v>0</v>
      </c>
      <c r="Q6">
        <v>0</v>
      </c>
      <c r="R6">
        <v>0</v>
      </c>
      <c r="S6" t="s">
        <v>42</v>
      </c>
    </row>
    <row r="7" spans="1:19" x14ac:dyDescent="0.25">
      <c r="A7" t="s">
        <v>35</v>
      </c>
      <c r="B7" t="s">
        <v>19</v>
      </c>
      <c r="C7" s="5" t="s">
        <v>20</v>
      </c>
      <c r="D7" t="s">
        <v>21</v>
      </c>
      <c r="E7" s="3">
        <v>41.78734</v>
      </c>
      <c r="F7" s="3">
        <v>2.3542800000000002</v>
      </c>
      <c r="G7">
        <v>1047</v>
      </c>
      <c r="H7">
        <v>25</v>
      </c>
      <c r="I7" t="s">
        <v>36</v>
      </c>
      <c r="J7" s="9">
        <v>45952</v>
      </c>
      <c r="K7" s="10" t="s">
        <v>34</v>
      </c>
      <c r="L7" s="2">
        <f t="shared" si="0"/>
        <v>314.15926535897933</v>
      </c>
      <c r="M7">
        <v>10</v>
      </c>
      <c r="N7">
        <v>30</v>
      </c>
      <c r="O7">
        <v>80</v>
      </c>
      <c r="P7">
        <v>0</v>
      </c>
      <c r="Q7">
        <v>0</v>
      </c>
      <c r="R7">
        <v>1</v>
      </c>
      <c r="S7" t="s">
        <v>42</v>
      </c>
    </row>
    <row r="8" spans="1:19" x14ac:dyDescent="0.25">
      <c r="A8" t="s">
        <v>37</v>
      </c>
      <c r="B8" t="s">
        <v>19</v>
      </c>
      <c r="C8" s="5" t="s">
        <v>20</v>
      </c>
      <c r="D8" t="s">
        <v>21</v>
      </c>
      <c r="E8" s="3">
        <v>41.787239999999997</v>
      </c>
      <c r="F8" s="3">
        <v>2.3563499999999999</v>
      </c>
      <c r="G8">
        <v>1048</v>
      </c>
      <c r="H8">
        <f>(15+20)/2</f>
        <v>17.5</v>
      </c>
      <c r="I8" t="s">
        <v>26</v>
      </c>
      <c r="J8" s="9">
        <v>45950</v>
      </c>
      <c r="K8" s="4" t="s">
        <v>38</v>
      </c>
      <c r="L8" s="2">
        <f t="shared" si="0"/>
        <v>314.15926535897933</v>
      </c>
      <c r="M8">
        <v>5</v>
      </c>
      <c r="N8">
        <v>10</v>
      </c>
      <c r="O8">
        <v>82</v>
      </c>
      <c r="P8">
        <v>0</v>
      </c>
      <c r="Q8">
        <v>3</v>
      </c>
      <c r="R8">
        <v>0</v>
      </c>
      <c r="S8" t="s">
        <v>42</v>
      </c>
    </row>
    <row r="9" spans="1:19" x14ac:dyDescent="0.25">
      <c r="A9" t="s">
        <v>39</v>
      </c>
      <c r="B9" t="s">
        <v>19</v>
      </c>
      <c r="C9" s="5" t="s">
        <v>20</v>
      </c>
      <c r="D9" t="s">
        <v>21</v>
      </c>
      <c r="E9" s="3">
        <v>41.786560000000001</v>
      </c>
      <c r="F9" s="3">
        <v>2.3517600000000001</v>
      </c>
      <c r="G9">
        <v>1034</v>
      </c>
      <c r="H9">
        <v>50</v>
      </c>
      <c r="I9" t="s">
        <v>36</v>
      </c>
      <c r="J9" s="9">
        <v>45950</v>
      </c>
      <c r="K9" s="10" t="s">
        <v>34</v>
      </c>
      <c r="L9" s="2">
        <f t="shared" si="0"/>
        <v>314.15926535897933</v>
      </c>
      <c r="M9">
        <v>50</v>
      </c>
      <c r="N9">
        <v>5</v>
      </c>
      <c r="O9">
        <v>40</v>
      </c>
      <c r="P9">
        <v>0</v>
      </c>
      <c r="Q9">
        <v>15</v>
      </c>
      <c r="R9">
        <v>0</v>
      </c>
      <c r="S9" t="s">
        <v>42</v>
      </c>
    </row>
    <row r="10" spans="1:19" x14ac:dyDescent="0.25">
      <c r="A10" t="s">
        <v>40</v>
      </c>
      <c r="B10" t="s">
        <v>19</v>
      </c>
      <c r="C10" s="5" t="s">
        <v>20</v>
      </c>
      <c r="D10" t="s">
        <v>25</v>
      </c>
      <c r="E10" s="3">
        <v>41.77919</v>
      </c>
      <c r="F10" s="3">
        <v>2.3568699999999998</v>
      </c>
      <c r="G10">
        <v>677</v>
      </c>
      <c r="H10">
        <v>15</v>
      </c>
      <c r="I10" t="s">
        <v>26</v>
      </c>
      <c r="J10" s="9">
        <v>45959</v>
      </c>
      <c r="K10" s="4" t="s">
        <v>23</v>
      </c>
      <c r="L10" s="2">
        <f t="shared" si="0"/>
        <v>314.15926535897933</v>
      </c>
      <c r="M10">
        <v>0</v>
      </c>
      <c r="N10">
        <v>20</v>
      </c>
      <c r="O10">
        <v>80</v>
      </c>
      <c r="P10">
        <v>0</v>
      </c>
      <c r="Q10">
        <v>0</v>
      </c>
      <c r="R10">
        <v>0</v>
      </c>
      <c r="S10" t="s">
        <v>42</v>
      </c>
    </row>
    <row r="11" spans="1:19" x14ac:dyDescent="0.25">
      <c r="A11" t="s">
        <v>41</v>
      </c>
      <c r="B11" t="s">
        <v>19</v>
      </c>
      <c r="C11" s="5" t="s">
        <v>20</v>
      </c>
      <c r="D11" t="s">
        <v>21</v>
      </c>
      <c r="E11" s="3">
        <v>41.796129999999998</v>
      </c>
      <c r="F11" s="3">
        <v>2.3487399999999998</v>
      </c>
      <c r="G11">
        <v>1087</v>
      </c>
      <c r="H11" s="12" t="s">
        <v>42</v>
      </c>
      <c r="I11" t="s">
        <v>22</v>
      </c>
      <c r="J11" s="9">
        <v>45950</v>
      </c>
      <c r="K11" s="4" t="s">
        <v>38</v>
      </c>
      <c r="L11" s="2">
        <f t="shared" si="0"/>
        <v>314.15926535897933</v>
      </c>
      <c r="M11">
        <v>0</v>
      </c>
      <c r="N11">
        <v>10</v>
      </c>
      <c r="O11">
        <v>88</v>
      </c>
      <c r="P11">
        <v>0</v>
      </c>
      <c r="Q11">
        <v>2</v>
      </c>
      <c r="R11">
        <v>0</v>
      </c>
      <c r="S11" t="s">
        <v>42</v>
      </c>
    </row>
    <row r="12" spans="1:19" x14ac:dyDescent="0.25">
      <c r="A12" t="s">
        <v>43</v>
      </c>
      <c r="B12" t="s">
        <v>44</v>
      </c>
      <c r="C12" s="11" t="s">
        <v>45</v>
      </c>
      <c r="D12" t="s">
        <v>25</v>
      </c>
      <c r="E12" s="3">
        <v>42.380040000000001</v>
      </c>
      <c r="F12" s="3">
        <v>2.2884699999999998</v>
      </c>
      <c r="G12">
        <v>1781</v>
      </c>
      <c r="H12">
        <f>(15+20)/2</f>
        <v>17.5</v>
      </c>
      <c r="I12" t="s">
        <v>22</v>
      </c>
      <c r="J12" s="9">
        <v>45944</v>
      </c>
      <c r="K12" s="4" t="s">
        <v>46</v>
      </c>
      <c r="L12" s="2">
        <f>PI()*15^2</f>
        <v>706.85834705770344</v>
      </c>
      <c r="M12">
        <v>0</v>
      </c>
      <c r="N12">
        <v>5</v>
      </c>
      <c r="O12">
        <v>5</v>
      </c>
      <c r="P12">
        <v>70</v>
      </c>
      <c r="Q12">
        <v>0</v>
      </c>
      <c r="R12">
        <v>20</v>
      </c>
      <c r="S12" t="s">
        <v>47</v>
      </c>
    </row>
    <row r="13" spans="1:19" x14ac:dyDescent="0.25">
      <c r="A13" t="s">
        <v>48</v>
      </c>
      <c r="B13" t="s">
        <v>44</v>
      </c>
      <c r="C13" s="11" t="s">
        <v>45</v>
      </c>
      <c r="D13" t="s">
        <v>25</v>
      </c>
      <c r="E13" s="3">
        <v>42.380490000000002</v>
      </c>
      <c r="F13" s="3">
        <v>2.2865600000000001</v>
      </c>
      <c r="G13">
        <v>1779</v>
      </c>
      <c r="H13">
        <f>(20+25)/2</f>
        <v>22.5</v>
      </c>
      <c r="I13" t="s">
        <v>22</v>
      </c>
      <c r="J13" s="9">
        <v>45934</v>
      </c>
      <c r="K13" s="4" t="s">
        <v>49</v>
      </c>
      <c r="L13" s="2">
        <f>(3/4)*(PI()*10^2)</f>
        <v>235.61944901923448</v>
      </c>
      <c r="M13">
        <v>0</v>
      </c>
      <c r="N13">
        <v>15</v>
      </c>
      <c r="O13">
        <v>75</v>
      </c>
      <c r="P13">
        <v>10</v>
      </c>
      <c r="Q13">
        <v>0</v>
      </c>
      <c r="R13">
        <v>0</v>
      </c>
      <c r="S13" t="s">
        <v>42</v>
      </c>
    </row>
    <row r="14" spans="1:19" x14ac:dyDescent="0.25">
      <c r="A14" t="s">
        <v>50</v>
      </c>
      <c r="B14" t="s">
        <v>44</v>
      </c>
      <c r="C14" s="11" t="s">
        <v>45</v>
      </c>
      <c r="D14" t="s">
        <v>25</v>
      </c>
      <c r="E14" s="3">
        <v>42.385260000000002</v>
      </c>
      <c r="F14" s="3">
        <v>2.2852600000000001</v>
      </c>
      <c r="G14">
        <v>1802</v>
      </c>
      <c r="H14">
        <f>(30+35)/2</f>
        <v>32.5</v>
      </c>
      <c r="I14" t="s">
        <v>31</v>
      </c>
      <c r="J14" s="9">
        <v>45944</v>
      </c>
      <c r="K14" s="4" t="s">
        <v>49</v>
      </c>
      <c r="L14" s="2">
        <f>(3/4)*(PI()*10^2)</f>
        <v>235.61944901923448</v>
      </c>
      <c r="M14">
        <v>0</v>
      </c>
      <c r="N14">
        <v>10</v>
      </c>
      <c r="O14">
        <v>65</v>
      </c>
      <c r="P14">
        <v>25</v>
      </c>
      <c r="Q14">
        <v>0</v>
      </c>
      <c r="R14">
        <v>0</v>
      </c>
      <c r="S14" t="s">
        <v>42</v>
      </c>
    </row>
    <row r="15" spans="1:19" x14ac:dyDescent="0.25">
      <c r="A15" t="s">
        <v>51</v>
      </c>
      <c r="B15" t="s">
        <v>44</v>
      </c>
      <c r="C15" s="11" t="s">
        <v>45</v>
      </c>
      <c r="D15" t="s">
        <v>21</v>
      </c>
      <c r="E15" s="3">
        <v>42.402529999999999</v>
      </c>
      <c r="F15" s="3">
        <v>2.3048000000000002</v>
      </c>
      <c r="G15">
        <v>1001</v>
      </c>
      <c r="H15">
        <f>(10+15)/2</f>
        <v>12.5</v>
      </c>
      <c r="I15" t="s">
        <v>36</v>
      </c>
      <c r="J15" s="9">
        <v>45945</v>
      </c>
      <c r="K15" t="s">
        <v>52</v>
      </c>
      <c r="L15" s="2">
        <f t="shared" ref="L15:L21" si="1">PI()*10^2</f>
        <v>314.15926535897933</v>
      </c>
      <c r="M15">
        <v>0</v>
      </c>
      <c r="N15">
        <v>0</v>
      </c>
      <c r="O15">
        <v>10</v>
      </c>
      <c r="P15">
        <v>88</v>
      </c>
      <c r="Q15">
        <v>2</v>
      </c>
      <c r="R15">
        <v>0</v>
      </c>
      <c r="S15" t="s">
        <v>42</v>
      </c>
    </row>
    <row r="16" spans="1:19" x14ac:dyDescent="0.25">
      <c r="A16" t="s">
        <v>53</v>
      </c>
      <c r="B16" t="s">
        <v>44</v>
      </c>
      <c r="C16" s="11" t="s">
        <v>45</v>
      </c>
      <c r="D16" t="s">
        <v>25</v>
      </c>
      <c r="E16" s="3">
        <v>42.312269999999998</v>
      </c>
      <c r="F16" s="3">
        <v>2.30782</v>
      </c>
      <c r="G16">
        <v>1717</v>
      </c>
      <c r="H16">
        <v>15</v>
      </c>
      <c r="I16" t="s">
        <v>26</v>
      </c>
      <c r="J16" s="9">
        <v>45946</v>
      </c>
      <c r="K16" s="10" t="s">
        <v>54</v>
      </c>
      <c r="L16" s="2">
        <f t="shared" si="1"/>
        <v>314.15926535897933</v>
      </c>
      <c r="M16">
        <v>0</v>
      </c>
      <c r="N16">
        <v>10</v>
      </c>
      <c r="O16">
        <v>5</v>
      </c>
      <c r="P16">
        <v>80</v>
      </c>
      <c r="Q16">
        <v>0</v>
      </c>
      <c r="R16">
        <v>5</v>
      </c>
      <c r="S16" t="s">
        <v>55</v>
      </c>
    </row>
    <row r="17" spans="1:19" x14ac:dyDescent="0.25">
      <c r="A17" t="s">
        <v>56</v>
      </c>
      <c r="B17" t="s">
        <v>44</v>
      </c>
      <c r="C17" s="11" t="s">
        <v>45</v>
      </c>
      <c r="D17" t="s">
        <v>25</v>
      </c>
      <c r="E17" s="3">
        <v>42.310560000000002</v>
      </c>
      <c r="F17" s="3">
        <v>2.31176</v>
      </c>
      <c r="G17">
        <v>1726</v>
      </c>
      <c r="H17">
        <v>10</v>
      </c>
      <c r="I17" t="s">
        <v>26</v>
      </c>
      <c r="J17" s="9">
        <v>45946</v>
      </c>
      <c r="K17" s="10" t="s">
        <v>54</v>
      </c>
      <c r="L17" s="2">
        <f t="shared" si="1"/>
        <v>314.15926535897933</v>
      </c>
      <c r="M17">
        <v>0</v>
      </c>
      <c r="N17">
        <v>1</v>
      </c>
      <c r="O17">
        <v>10</v>
      </c>
      <c r="P17">
        <v>10</v>
      </c>
      <c r="Q17">
        <v>0</v>
      </c>
      <c r="R17">
        <v>3</v>
      </c>
      <c r="S17" t="s">
        <v>55</v>
      </c>
    </row>
    <row r="18" spans="1:19" x14ac:dyDescent="0.25">
      <c r="A18" t="s">
        <v>57</v>
      </c>
      <c r="B18" t="s">
        <v>44</v>
      </c>
      <c r="C18" s="11" t="s">
        <v>45</v>
      </c>
      <c r="D18" t="s">
        <v>21</v>
      </c>
      <c r="E18" s="3">
        <v>42.39264</v>
      </c>
      <c r="F18" s="3">
        <v>2.3115600000000001</v>
      </c>
      <c r="G18">
        <v>1789</v>
      </c>
      <c r="H18">
        <f>(25+30)/2</f>
        <v>27.5</v>
      </c>
      <c r="I18" t="s">
        <v>36</v>
      </c>
      <c r="J18" s="9">
        <v>45945</v>
      </c>
      <c r="K18" t="s">
        <v>58</v>
      </c>
      <c r="L18" s="2">
        <f t="shared" si="1"/>
        <v>314.15926535897933</v>
      </c>
      <c r="M18">
        <v>0</v>
      </c>
      <c r="N18">
        <v>3</v>
      </c>
      <c r="O18">
        <v>5</v>
      </c>
      <c r="P18">
        <v>92</v>
      </c>
      <c r="Q18">
        <v>0</v>
      </c>
      <c r="R18">
        <v>0</v>
      </c>
      <c r="S18" t="s">
        <v>42</v>
      </c>
    </row>
    <row r="19" spans="1:19" x14ac:dyDescent="0.25">
      <c r="A19" t="s">
        <v>59</v>
      </c>
      <c r="B19" t="s">
        <v>44</v>
      </c>
      <c r="C19" s="11" t="s">
        <v>45</v>
      </c>
      <c r="D19" t="s">
        <v>21</v>
      </c>
      <c r="E19" s="3">
        <v>42.389310000000002</v>
      </c>
      <c r="F19" s="3">
        <v>2.3166500000000001</v>
      </c>
      <c r="G19">
        <v>1805</v>
      </c>
      <c r="H19">
        <v>25</v>
      </c>
      <c r="I19" t="s">
        <v>36</v>
      </c>
      <c r="J19" s="9">
        <v>45945</v>
      </c>
      <c r="K19" t="s">
        <v>60</v>
      </c>
      <c r="L19" s="2">
        <f t="shared" si="1"/>
        <v>314.15926535897933</v>
      </c>
      <c r="M19">
        <v>0</v>
      </c>
      <c r="N19">
        <v>3</v>
      </c>
      <c r="O19">
        <v>7</v>
      </c>
      <c r="P19">
        <v>90</v>
      </c>
      <c r="Q19">
        <v>0</v>
      </c>
      <c r="R19">
        <v>15</v>
      </c>
      <c r="S19" t="s">
        <v>42</v>
      </c>
    </row>
    <row r="20" spans="1:19" x14ac:dyDescent="0.25">
      <c r="A20" t="s">
        <v>61</v>
      </c>
      <c r="B20" t="s">
        <v>44</v>
      </c>
      <c r="C20" s="11" t="s">
        <v>45</v>
      </c>
      <c r="D20" t="s">
        <v>21</v>
      </c>
      <c r="E20" s="3">
        <v>42.388849999999998</v>
      </c>
      <c r="F20" s="3">
        <v>2.3147799999999998</v>
      </c>
      <c r="G20">
        <v>1739</v>
      </c>
      <c r="H20">
        <v>30</v>
      </c>
      <c r="I20" t="s">
        <v>62</v>
      </c>
      <c r="J20" s="9">
        <v>45945</v>
      </c>
      <c r="K20" t="s">
        <v>63</v>
      </c>
      <c r="L20" s="2">
        <f t="shared" si="1"/>
        <v>314.15926535897933</v>
      </c>
      <c r="M20">
        <v>0</v>
      </c>
      <c r="N20">
        <v>5</v>
      </c>
      <c r="O20">
        <v>5</v>
      </c>
      <c r="P20">
        <v>90</v>
      </c>
      <c r="Q20">
        <v>0</v>
      </c>
      <c r="R20">
        <v>0</v>
      </c>
      <c r="S20" t="s">
        <v>42</v>
      </c>
    </row>
    <row r="21" spans="1:19" x14ac:dyDescent="0.25">
      <c r="A21" t="s">
        <v>64</v>
      </c>
      <c r="B21" t="s">
        <v>44</v>
      </c>
      <c r="C21" s="11" t="s">
        <v>45</v>
      </c>
      <c r="D21" t="s">
        <v>21</v>
      </c>
      <c r="E21" s="3">
        <v>42.39481</v>
      </c>
      <c r="F21" s="3">
        <v>2.30714</v>
      </c>
      <c r="G21">
        <v>1718</v>
      </c>
      <c r="H21">
        <v>15</v>
      </c>
      <c r="I21" t="s">
        <v>62</v>
      </c>
      <c r="J21" s="9">
        <v>45946</v>
      </c>
      <c r="K21" s="10" t="s">
        <v>65</v>
      </c>
      <c r="L21" s="2">
        <f t="shared" si="1"/>
        <v>314.15926535897933</v>
      </c>
      <c r="M21">
        <v>0</v>
      </c>
      <c r="N21">
        <v>3</v>
      </c>
      <c r="O21">
        <v>40</v>
      </c>
      <c r="P21">
        <v>38</v>
      </c>
      <c r="Q21">
        <v>5</v>
      </c>
      <c r="R21">
        <v>20</v>
      </c>
      <c r="S21" t="s">
        <v>55</v>
      </c>
    </row>
    <row r="22" spans="1:19" x14ac:dyDescent="0.25">
      <c r="A22" t="s">
        <v>66</v>
      </c>
      <c r="B22" t="s">
        <v>67</v>
      </c>
      <c r="C22" s="11" t="s">
        <v>68</v>
      </c>
      <c r="D22" t="s">
        <v>25</v>
      </c>
      <c r="E22" s="3">
        <v>41.768450000000001</v>
      </c>
      <c r="F22" s="3">
        <v>2.47546</v>
      </c>
      <c r="G22">
        <v>1140</v>
      </c>
      <c r="H22">
        <f>(20+25)/2</f>
        <v>22.5</v>
      </c>
      <c r="I22" t="s">
        <v>26</v>
      </c>
      <c r="J22" s="9">
        <v>45788</v>
      </c>
      <c r="K22" s="4" t="s">
        <v>49</v>
      </c>
      <c r="L22" s="2">
        <f t="shared" ref="L22:L31" si="2">PI()*15^2</f>
        <v>706.85834705770344</v>
      </c>
      <c r="M22">
        <v>3</v>
      </c>
      <c r="N22">
        <v>1</v>
      </c>
      <c r="O22">
        <v>96</v>
      </c>
      <c r="P22">
        <v>0</v>
      </c>
      <c r="Q22">
        <v>0</v>
      </c>
      <c r="R22">
        <v>0</v>
      </c>
      <c r="S22" t="s">
        <v>42</v>
      </c>
    </row>
    <row r="23" spans="1:19" x14ac:dyDescent="0.25">
      <c r="A23" t="s">
        <v>69</v>
      </c>
      <c r="B23" t="s">
        <v>67</v>
      </c>
      <c r="C23" s="11" t="s">
        <v>68</v>
      </c>
      <c r="D23" t="s">
        <v>21</v>
      </c>
      <c r="E23" s="3">
        <v>41.463630000000002</v>
      </c>
      <c r="F23" s="3">
        <v>2.28335</v>
      </c>
      <c r="G23">
        <v>1175</v>
      </c>
      <c r="H23">
        <f>(5+10)/2</f>
        <v>7.5</v>
      </c>
      <c r="I23" t="s">
        <v>62</v>
      </c>
      <c r="J23" s="9">
        <v>45938</v>
      </c>
      <c r="K23" t="s">
        <v>152</v>
      </c>
      <c r="L23" s="2">
        <f t="shared" si="2"/>
        <v>706.85834705770344</v>
      </c>
      <c r="M23">
        <v>15</v>
      </c>
      <c r="N23">
        <v>25</v>
      </c>
      <c r="O23">
        <v>60</v>
      </c>
      <c r="P23">
        <v>0</v>
      </c>
      <c r="Q23">
        <v>0</v>
      </c>
      <c r="R23">
        <v>0</v>
      </c>
      <c r="S23" t="s">
        <v>42</v>
      </c>
    </row>
    <row r="24" spans="1:19" x14ac:dyDescent="0.25">
      <c r="A24" t="s">
        <v>70</v>
      </c>
      <c r="B24" t="s">
        <v>67</v>
      </c>
      <c r="C24" s="11" t="s">
        <v>68</v>
      </c>
      <c r="D24" t="s">
        <v>21</v>
      </c>
      <c r="E24" s="3">
        <v>41.464619999999996</v>
      </c>
      <c r="F24" s="3">
        <v>2.2841399999999998</v>
      </c>
      <c r="G24">
        <v>1191</v>
      </c>
      <c r="H24">
        <f>(10+12)/2</f>
        <v>11</v>
      </c>
      <c r="I24" t="s">
        <v>36</v>
      </c>
      <c r="J24" s="9">
        <v>45938</v>
      </c>
      <c r="K24" t="s">
        <v>71</v>
      </c>
      <c r="L24" s="2">
        <f t="shared" si="2"/>
        <v>706.85834705770344</v>
      </c>
      <c r="M24">
        <v>3</v>
      </c>
      <c r="N24">
        <v>5</v>
      </c>
      <c r="O24">
        <v>92</v>
      </c>
      <c r="P24">
        <v>0</v>
      </c>
      <c r="Q24">
        <v>0</v>
      </c>
      <c r="R24">
        <v>0</v>
      </c>
      <c r="S24" t="s">
        <v>42</v>
      </c>
    </row>
    <row r="25" spans="1:19" x14ac:dyDescent="0.25">
      <c r="A25" t="s">
        <v>72</v>
      </c>
      <c r="B25" t="s">
        <v>67</v>
      </c>
      <c r="C25" s="11" t="s">
        <v>68</v>
      </c>
      <c r="D25" t="s">
        <v>21</v>
      </c>
      <c r="E25" s="3">
        <v>41.770949999999999</v>
      </c>
      <c r="F25" s="3">
        <v>2.4870700000000001</v>
      </c>
      <c r="G25">
        <v>1162</v>
      </c>
      <c r="H25">
        <f>(15+20)/2</f>
        <v>17.5</v>
      </c>
      <c r="I25" t="s">
        <v>73</v>
      </c>
      <c r="J25" s="9">
        <v>45940</v>
      </c>
      <c r="K25" t="s">
        <v>74</v>
      </c>
      <c r="L25" s="2">
        <f t="shared" si="2"/>
        <v>706.85834705770344</v>
      </c>
      <c r="M25">
        <v>10</v>
      </c>
      <c r="N25">
        <v>0</v>
      </c>
      <c r="O25">
        <v>29</v>
      </c>
      <c r="P25">
        <v>10</v>
      </c>
      <c r="Q25">
        <v>1</v>
      </c>
      <c r="R25">
        <v>50</v>
      </c>
      <c r="S25" s="11" t="s">
        <v>75</v>
      </c>
    </row>
    <row r="26" spans="1:19" x14ac:dyDescent="0.25">
      <c r="A26" t="s">
        <v>76</v>
      </c>
      <c r="B26" t="s">
        <v>67</v>
      </c>
      <c r="C26" s="11" t="s">
        <v>68</v>
      </c>
      <c r="D26" t="s">
        <v>25</v>
      </c>
      <c r="E26" s="3">
        <v>41.771729999999998</v>
      </c>
      <c r="F26" s="3">
        <v>2.4870100000000002</v>
      </c>
      <c r="G26">
        <v>1170</v>
      </c>
      <c r="H26">
        <f>(20+25)/2</f>
        <v>22.5</v>
      </c>
      <c r="I26" t="s">
        <v>22</v>
      </c>
      <c r="J26" s="9">
        <v>45940</v>
      </c>
      <c r="K26" t="s">
        <v>77</v>
      </c>
      <c r="L26" s="2">
        <f t="shared" si="2"/>
        <v>706.85834705770344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 t="s">
        <v>42</v>
      </c>
    </row>
    <row r="27" spans="1:19" x14ac:dyDescent="0.25">
      <c r="A27" t="s">
        <v>78</v>
      </c>
      <c r="B27" t="s">
        <v>67</v>
      </c>
      <c r="C27" s="11" t="s">
        <v>68</v>
      </c>
      <c r="D27" t="s">
        <v>25</v>
      </c>
      <c r="E27" s="3">
        <v>41.77469</v>
      </c>
      <c r="F27" s="3">
        <v>2.47146</v>
      </c>
      <c r="G27">
        <v>1189</v>
      </c>
      <c r="H27">
        <v>2</v>
      </c>
      <c r="I27" t="s">
        <v>79</v>
      </c>
      <c r="J27" s="9">
        <v>45957</v>
      </c>
      <c r="K27" t="s">
        <v>80</v>
      </c>
      <c r="L27" s="2">
        <f t="shared" si="2"/>
        <v>706.85834705770344</v>
      </c>
      <c r="M27">
        <v>0</v>
      </c>
      <c r="N27">
        <v>0</v>
      </c>
      <c r="O27">
        <v>100</v>
      </c>
      <c r="P27">
        <v>0</v>
      </c>
      <c r="Q27">
        <v>0</v>
      </c>
      <c r="R27">
        <v>15</v>
      </c>
      <c r="S27" t="s">
        <v>55</v>
      </c>
    </row>
    <row r="28" spans="1:19" x14ac:dyDescent="0.25">
      <c r="A28" t="s">
        <v>81</v>
      </c>
      <c r="B28" t="s">
        <v>67</v>
      </c>
      <c r="C28" s="11" t="s">
        <v>68</v>
      </c>
      <c r="D28" t="s">
        <v>21</v>
      </c>
      <c r="E28" s="3">
        <v>41.775039999999997</v>
      </c>
      <c r="F28" s="3">
        <v>2.4774600000000002</v>
      </c>
      <c r="G28">
        <v>1239</v>
      </c>
      <c r="H28">
        <v>20</v>
      </c>
      <c r="I28" t="s">
        <v>62</v>
      </c>
      <c r="J28" s="9">
        <v>45957</v>
      </c>
      <c r="K28" t="s">
        <v>80</v>
      </c>
      <c r="L28" s="2">
        <f t="shared" si="2"/>
        <v>706.85834705770344</v>
      </c>
      <c r="M28">
        <v>20</v>
      </c>
      <c r="N28">
        <v>30</v>
      </c>
      <c r="O28">
        <v>40</v>
      </c>
      <c r="P28">
        <v>30</v>
      </c>
      <c r="Q28">
        <v>5</v>
      </c>
      <c r="R28">
        <v>0</v>
      </c>
      <c r="S28" t="s">
        <v>42</v>
      </c>
    </row>
    <row r="29" spans="1:19" x14ac:dyDescent="0.25">
      <c r="A29" t="s">
        <v>82</v>
      </c>
      <c r="B29" t="s">
        <v>67</v>
      </c>
      <c r="C29" s="11" t="s">
        <v>68</v>
      </c>
      <c r="D29" t="s">
        <v>25</v>
      </c>
      <c r="E29" s="3">
        <v>41.465739999999997</v>
      </c>
      <c r="F29" s="3">
        <v>2.28573</v>
      </c>
      <c r="G29">
        <v>1207</v>
      </c>
      <c r="H29">
        <f>(3+5)/2</f>
        <v>4</v>
      </c>
      <c r="I29" s="9" t="s">
        <v>26</v>
      </c>
      <c r="J29" s="9">
        <v>45939</v>
      </c>
      <c r="K29" t="s">
        <v>83</v>
      </c>
      <c r="L29" s="2">
        <f t="shared" si="2"/>
        <v>706.85834705770344</v>
      </c>
      <c r="M29">
        <v>0</v>
      </c>
      <c r="N29">
        <v>5</v>
      </c>
      <c r="O29">
        <v>95</v>
      </c>
      <c r="P29">
        <v>0</v>
      </c>
      <c r="Q29">
        <v>0</v>
      </c>
      <c r="R29">
        <v>0</v>
      </c>
      <c r="S29" t="s">
        <v>42</v>
      </c>
    </row>
    <row r="30" spans="1:19" x14ac:dyDescent="0.25">
      <c r="A30" t="s">
        <v>84</v>
      </c>
      <c r="B30" t="s">
        <v>67</v>
      </c>
      <c r="C30" s="11" t="s">
        <v>68</v>
      </c>
      <c r="D30" t="s">
        <v>21</v>
      </c>
      <c r="E30" s="3">
        <v>41.77243</v>
      </c>
      <c r="F30" s="3">
        <v>2.4846499999999998</v>
      </c>
      <c r="G30">
        <v>1203</v>
      </c>
      <c r="H30">
        <f>(20+30)/2</f>
        <v>25</v>
      </c>
      <c r="I30" t="s">
        <v>73</v>
      </c>
      <c r="J30" s="9">
        <v>45940</v>
      </c>
      <c r="K30" t="s">
        <v>77</v>
      </c>
      <c r="L30" s="2">
        <f t="shared" si="2"/>
        <v>706.85834705770344</v>
      </c>
      <c r="M30">
        <v>15</v>
      </c>
      <c r="N30">
        <v>40</v>
      </c>
      <c r="O30">
        <v>38</v>
      </c>
      <c r="P30">
        <v>2</v>
      </c>
      <c r="Q30">
        <v>5</v>
      </c>
      <c r="R30">
        <v>0</v>
      </c>
      <c r="S30" t="s">
        <v>42</v>
      </c>
    </row>
    <row r="31" spans="1:19" x14ac:dyDescent="0.25">
      <c r="A31" t="s">
        <v>141</v>
      </c>
      <c r="B31" t="s">
        <v>67</v>
      </c>
      <c r="C31" s="11" t="s">
        <v>68</v>
      </c>
      <c r="D31" t="s">
        <v>25</v>
      </c>
      <c r="E31" s="3">
        <v>41.768149999999999</v>
      </c>
      <c r="F31" s="3">
        <v>2.4815299999999998</v>
      </c>
      <c r="G31">
        <v>1167</v>
      </c>
      <c r="H31">
        <v>15</v>
      </c>
      <c r="I31" t="s">
        <v>26</v>
      </c>
      <c r="J31" s="9">
        <v>45966</v>
      </c>
      <c r="K31" t="s">
        <v>85</v>
      </c>
      <c r="L31" s="2">
        <f t="shared" si="2"/>
        <v>706.85834705770344</v>
      </c>
      <c r="M31">
        <v>3</v>
      </c>
      <c r="N31">
        <v>1</v>
      </c>
      <c r="O31">
        <v>96</v>
      </c>
      <c r="P31">
        <v>0</v>
      </c>
      <c r="Q31">
        <v>0</v>
      </c>
      <c r="R31">
        <v>0</v>
      </c>
      <c r="S3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0D26-A2AA-41F1-82A7-F85516E8D1E4}">
  <dimension ref="A1:K31"/>
  <sheetViews>
    <sheetView zoomScale="78" workbookViewId="0">
      <selection activeCell="A32" sqref="A32"/>
    </sheetView>
  </sheetViews>
  <sheetFormatPr defaultColWidth="8.7109375" defaultRowHeight="15" x14ac:dyDescent="0.25"/>
  <cols>
    <col min="1" max="1" width="15.5703125" customWidth="1"/>
    <col min="2" max="2" width="19.7109375" customWidth="1"/>
    <col min="3" max="3" width="17.42578125" customWidth="1"/>
    <col min="4" max="4" width="26.5703125" customWidth="1"/>
    <col min="5" max="5" width="15.42578125" customWidth="1"/>
    <col min="6" max="6" width="19.28515625" customWidth="1"/>
    <col min="7" max="7" width="16.5703125" customWidth="1"/>
    <col min="8" max="8" width="15.7109375" customWidth="1"/>
    <col min="9" max="9" width="13.85546875" customWidth="1"/>
    <col min="10" max="10" width="15.140625" customWidth="1"/>
    <col min="11" max="11" width="13" customWidth="1"/>
  </cols>
  <sheetData>
    <row r="1" spans="1:11" s="13" customFormat="1" x14ac:dyDescent="0.25">
      <c r="A1" s="13" t="s">
        <v>0</v>
      </c>
      <c r="B1" s="13" t="s">
        <v>86</v>
      </c>
      <c r="C1" s="13" t="s">
        <v>87</v>
      </c>
      <c r="D1" s="13" t="s">
        <v>88</v>
      </c>
      <c r="E1" s="13" t="s">
        <v>89</v>
      </c>
      <c r="F1" s="13" t="s">
        <v>90</v>
      </c>
      <c r="G1" s="13" t="s">
        <v>91</v>
      </c>
      <c r="H1" s="13" t="s">
        <v>92</v>
      </c>
      <c r="I1" s="13" t="s">
        <v>93</v>
      </c>
      <c r="J1" s="13" t="s">
        <v>94</v>
      </c>
      <c r="K1" s="13" t="s">
        <v>95</v>
      </c>
    </row>
    <row r="2" spans="1:11" x14ac:dyDescent="0.25">
      <c r="A2" s="4" t="s">
        <v>18</v>
      </c>
      <c r="B2" s="5" t="s">
        <v>20</v>
      </c>
      <c r="C2">
        <v>5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</row>
    <row r="3" spans="1:11" x14ac:dyDescent="0.25">
      <c r="A3" t="s">
        <v>24</v>
      </c>
      <c r="B3" s="5" t="s">
        <v>20</v>
      </c>
      <c r="C3">
        <v>35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</row>
    <row r="4" spans="1:11" x14ac:dyDescent="0.25">
      <c r="A4" t="s">
        <v>28</v>
      </c>
      <c r="B4" s="5" t="s">
        <v>20</v>
      </c>
      <c r="C4">
        <v>20</v>
      </c>
      <c r="D4" s="11" t="s">
        <v>96</v>
      </c>
      <c r="E4" t="s">
        <v>42</v>
      </c>
      <c r="F4" s="11" t="s">
        <v>97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</row>
    <row r="5" spans="1:11" x14ac:dyDescent="0.25">
      <c r="A5" s="4" t="s">
        <v>30</v>
      </c>
      <c r="B5" s="5" t="s">
        <v>20</v>
      </c>
      <c r="C5">
        <v>8</v>
      </c>
      <c r="D5" s="11" t="s">
        <v>98</v>
      </c>
      <c r="E5">
        <v>10</v>
      </c>
      <c r="F5" s="11" t="s">
        <v>99</v>
      </c>
      <c r="G5">
        <v>1</v>
      </c>
      <c r="H5" t="s">
        <v>42</v>
      </c>
      <c r="I5" t="s">
        <v>42</v>
      </c>
      <c r="J5" t="s">
        <v>42</v>
      </c>
      <c r="K5" t="s">
        <v>42</v>
      </c>
    </row>
    <row r="6" spans="1:11" x14ac:dyDescent="0.25">
      <c r="A6" s="4" t="s">
        <v>33</v>
      </c>
      <c r="B6" s="5" t="s">
        <v>20</v>
      </c>
      <c r="C6">
        <v>35</v>
      </c>
      <c r="D6" s="11" t="s">
        <v>100</v>
      </c>
      <c r="E6">
        <v>10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</row>
    <row r="7" spans="1:11" x14ac:dyDescent="0.25">
      <c r="A7" t="s">
        <v>35</v>
      </c>
      <c r="B7" s="11" t="s">
        <v>20</v>
      </c>
      <c r="C7">
        <v>10</v>
      </c>
      <c r="D7" s="11" t="s">
        <v>101</v>
      </c>
      <c r="E7">
        <v>1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</row>
    <row r="8" spans="1:11" x14ac:dyDescent="0.25">
      <c r="A8" t="s">
        <v>37</v>
      </c>
      <c r="B8" s="11" t="s">
        <v>20</v>
      </c>
      <c r="C8">
        <v>25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</row>
    <row r="9" spans="1:11" x14ac:dyDescent="0.25">
      <c r="A9" t="s">
        <v>39</v>
      </c>
      <c r="B9" s="11" t="s">
        <v>20</v>
      </c>
      <c r="C9">
        <v>10</v>
      </c>
      <c r="D9" s="1" t="s">
        <v>102</v>
      </c>
      <c r="E9">
        <v>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</row>
    <row r="10" spans="1:11" x14ac:dyDescent="0.25">
      <c r="A10" t="s">
        <v>40</v>
      </c>
      <c r="B10" s="11" t="s">
        <v>20</v>
      </c>
      <c r="C10">
        <v>20</v>
      </c>
      <c r="D10" s="11" t="s">
        <v>103</v>
      </c>
      <c r="E10">
        <v>20</v>
      </c>
      <c r="F10" s="11" t="s">
        <v>104</v>
      </c>
      <c r="G10">
        <v>20</v>
      </c>
      <c r="H10" s="11" t="s">
        <v>105</v>
      </c>
      <c r="I10">
        <v>20</v>
      </c>
      <c r="J10" t="s">
        <v>42</v>
      </c>
      <c r="K10" t="s">
        <v>42</v>
      </c>
    </row>
    <row r="11" spans="1:11" x14ac:dyDescent="0.25">
      <c r="A11" t="s">
        <v>41</v>
      </c>
      <c r="B11" s="11" t="s">
        <v>20</v>
      </c>
      <c r="C11">
        <v>5</v>
      </c>
      <c r="D11" s="11" t="s">
        <v>75</v>
      </c>
      <c r="E11">
        <v>5</v>
      </c>
      <c r="F11" s="11" t="s">
        <v>106</v>
      </c>
      <c r="G11">
        <v>3</v>
      </c>
      <c r="H11" t="s">
        <v>42</v>
      </c>
      <c r="I11" t="s">
        <v>42</v>
      </c>
      <c r="J11" t="s">
        <v>42</v>
      </c>
      <c r="K11" t="s">
        <v>42</v>
      </c>
    </row>
    <row r="12" spans="1:11" x14ac:dyDescent="0.25">
      <c r="A12" t="s">
        <v>43</v>
      </c>
      <c r="B12" s="11" t="s">
        <v>107</v>
      </c>
      <c r="C12">
        <v>15</v>
      </c>
      <c r="D12" s="11" t="s">
        <v>108</v>
      </c>
      <c r="E12">
        <v>1</v>
      </c>
      <c r="F12" s="11" t="s">
        <v>109</v>
      </c>
      <c r="G12">
        <v>5</v>
      </c>
      <c r="H12" t="s">
        <v>42</v>
      </c>
      <c r="I12" t="s">
        <v>42</v>
      </c>
      <c r="J12" t="s">
        <v>42</v>
      </c>
      <c r="K12" t="s">
        <v>42</v>
      </c>
    </row>
    <row r="13" spans="1:11" x14ac:dyDescent="0.25">
      <c r="A13" t="s">
        <v>48</v>
      </c>
      <c r="B13" t="s">
        <v>42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</row>
    <row r="14" spans="1:11" x14ac:dyDescent="0.25">
      <c r="A14" t="s">
        <v>50</v>
      </c>
      <c r="B14" s="11" t="s">
        <v>108</v>
      </c>
      <c r="C14">
        <v>3</v>
      </c>
      <c r="D14" s="11" t="s">
        <v>109</v>
      </c>
      <c r="E14">
        <v>5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</row>
    <row r="15" spans="1:11" x14ac:dyDescent="0.25">
      <c r="A15" t="s">
        <v>51</v>
      </c>
      <c r="B15" s="11" t="s">
        <v>110</v>
      </c>
      <c r="C15">
        <v>20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</row>
    <row r="16" spans="1:11" x14ac:dyDescent="0.25">
      <c r="A16" t="s">
        <v>53</v>
      </c>
      <c r="B16" s="11" t="s">
        <v>110</v>
      </c>
      <c r="C16">
        <v>8</v>
      </c>
      <c r="D16" s="11" t="s">
        <v>111</v>
      </c>
      <c r="E16">
        <v>2</v>
      </c>
      <c r="F16" s="11" t="s">
        <v>112</v>
      </c>
      <c r="G16">
        <v>1</v>
      </c>
      <c r="H16" s="11" t="s">
        <v>45</v>
      </c>
      <c r="I16">
        <v>3</v>
      </c>
      <c r="J16" t="s">
        <v>42</v>
      </c>
      <c r="K16" t="s">
        <v>42</v>
      </c>
    </row>
    <row r="17" spans="1:11" x14ac:dyDescent="0.25">
      <c r="A17" t="s">
        <v>56</v>
      </c>
      <c r="B17" s="11" t="s">
        <v>45</v>
      </c>
      <c r="C17">
        <v>5</v>
      </c>
      <c r="D17" s="11" t="s">
        <v>110</v>
      </c>
      <c r="E17">
        <v>1</v>
      </c>
      <c r="F17" s="11" t="s">
        <v>111</v>
      </c>
      <c r="G17">
        <v>1</v>
      </c>
      <c r="H17" t="s">
        <v>42</v>
      </c>
      <c r="I17" t="s">
        <v>42</v>
      </c>
      <c r="J17" t="s">
        <v>42</v>
      </c>
      <c r="K17" t="s">
        <v>42</v>
      </c>
    </row>
    <row r="18" spans="1:11" x14ac:dyDescent="0.25">
      <c r="A18" t="s">
        <v>57</v>
      </c>
      <c r="B18" s="11" t="s">
        <v>113</v>
      </c>
      <c r="C18">
        <v>1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</row>
    <row r="19" spans="1:11" x14ac:dyDescent="0.25">
      <c r="A19" t="s">
        <v>59</v>
      </c>
      <c r="B19" t="s">
        <v>42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</row>
    <row r="20" spans="1:11" x14ac:dyDescent="0.25">
      <c r="A20" t="s">
        <v>61</v>
      </c>
      <c r="B20" t="s">
        <v>42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</row>
    <row r="21" spans="1:11" x14ac:dyDescent="0.25">
      <c r="A21" t="s">
        <v>64</v>
      </c>
      <c r="B21" s="11" t="s">
        <v>111</v>
      </c>
      <c r="C21">
        <v>60</v>
      </c>
      <c r="D21" s="11" t="s">
        <v>114</v>
      </c>
      <c r="E21" t="s">
        <v>115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</row>
    <row r="22" spans="1:11" x14ac:dyDescent="0.25">
      <c r="A22" t="s">
        <v>66</v>
      </c>
      <c r="B22" s="11" t="s">
        <v>113</v>
      </c>
      <c r="C22">
        <v>5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</row>
    <row r="23" spans="1:11" x14ac:dyDescent="0.25">
      <c r="A23" t="s">
        <v>69</v>
      </c>
      <c r="B23" s="11" t="s">
        <v>68</v>
      </c>
      <c r="C23">
        <v>3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</row>
    <row r="24" spans="1:11" x14ac:dyDescent="0.25">
      <c r="A24" t="s">
        <v>70</v>
      </c>
      <c r="B24" s="11" t="s">
        <v>68</v>
      </c>
      <c r="C24">
        <v>1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</row>
    <row r="25" spans="1:11" x14ac:dyDescent="0.25">
      <c r="A25" t="s">
        <v>72</v>
      </c>
      <c r="B25" s="11" t="s">
        <v>75</v>
      </c>
      <c r="C25">
        <v>20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</row>
    <row r="26" spans="1:11" x14ac:dyDescent="0.25">
      <c r="A26" t="s">
        <v>76</v>
      </c>
      <c r="B26" s="11" t="s">
        <v>42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</row>
    <row r="27" spans="1:11" x14ac:dyDescent="0.25">
      <c r="A27" t="s">
        <v>78</v>
      </c>
      <c r="B27" s="11" t="s">
        <v>116</v>
      </c>
      <c r="C27">
        <v>20</v>
      </c>
      <c r="D27" s="11" t="s">
        <v>68</v>
      </c>
      <c r="E27">
        <v>5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</row>
    <row r="28" spans="1:11" x14ac:dyDescent="0.25">
      <c r="A28" t="s">
        <v>81</v>
      </c>
      <c r="B28" s="11" t="s">
        <v>68</v>
      </c>
      <c r="C28">
        <v>10</v>
      </c>
      <c r="D28" s="11" t="s">
        <v>75</v>
      </c>
      <c r="E28">
        <v>40</v>
      </c>
      <c r="F28" s="11" t="s">
        <v>110</v>
      </c>
      <c r="G28">
        <v>5</v>
      </c>
      <c r="H28" t="s">
        <v>42</v>
      </c>
      <c r="I28" t="s">
        <v>42</v>
      </c>
      <c r="J28" t="s">
        <v>42</v>
      </c>
      <c r="K28" t="s">
        <v>42</v>
      </c>
    </row>
    <row r="29" spans="1:11" x14ac:dyDescent="0.25">
      <c r="A29" t="s">
        <v>82</v>
      </c>
      <c r="B29" s="11" t="s">
        <v>68</v>
      </c>
      <c r="C29">
        <v>3</v>
      </c>
      <c r="D29" s="11" t="s">
        <v>110</v>
      </c>
      <c r="E29">
        <v>1</v>
      </c>
      <c r="F29" s="11" t="s">
        <v>113</v>
      </c>
      <c r="G29">
        <v>4</v>
      </c>
      <c r="H29" t="s">
        <v>42</v>
      </c>
      <c r="I29" t="s">
        <v>42</v>
      </c>
      <c r="J29" t="s">
        <v>42</v>
      </c>
      <c r="K29" t="s">
        <v>42</v>
      </c>
    </row>
    <row r="30" spans="1:11" x14ac:dyDescent="0.25">
      <c r="A30" t="s">
        <v>84</v>
      </c>
      <c r="B30" s="11" t="s">
        <v>68</v>
      </c>
      <c r="C30">
        <v>5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</row>
    <row r="31" spans="1:11" x14ac:dyDescent="0.25">
      <c r="A31" t="s">
        <v>141</v>
      </c>
      <c r="B31" s="11" t="s">
        <v>42</v>
      </c>
      <c r="C31" t="s">
        <v>42</v>
      </c>
      <c r="D31" t="s">
        <v>42</v>
      </c>
      <c r="E31" t="s">
        <v>42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968D-F247-463F-9030-CF6148BEBB59}">
  <dimension ref="A1:O1529"/>
  <sheetViews>
    <sheetView workbookViewId="0">
      <pane ySplit="1" topLeftCell="A44" activePane="bottomLeft" state="frozen"/>
      <selection pane="bottomLeft" activeCell="D1327" sqref="D1327"/>
    </sheetView>
  </sheetViews>
  <sheetFormatPr defaultColWidth="8.7109375" defaultRowHeight="15" x14ac:dyDescent="0.25"/>
  <cols>
    <col min="1" max="1" width="16.85546875" customWidth="1"/>
    <col min="2" max="2" width="17" customWidth="1"/>
    <col min="3" max="3" width="15.5703125" customWidth="1"/>
    <col min="4" max="12" width="19.140625" customWidth="1"/>
    <col min="13" max="13" width="15.140625" customWidth="1"/>
    <col min="14" max="14" width="31.85546875" customWidth="1"/>
    <col min="15" max="15" width="9.42578125" customWidth="1"/>
    <col min="16" max="16" width="12.85546875" customWidth="1"/>
    <col min="17" max="17" width="14.85546875" customWidth="1"/>
    <col min="19" max="19" width="14.85546875" customWidth="1"/>
    <col min="20" max="20" width="13.140625" customWidth="1"/>
    <col min="22" max="22" width="13.140625" customWidth="1"/>
    <col min="23" max="23" width="15.140625" customWidth="1"/>
    <col min="25" max="25" width="15.140625" customWidth="1"/>
    <col min="26" max="26" width="13.42578125" customWidth="1"/>
    <col min="28" max="28" width="13.28515625" customWidth="1"/>
    <col min="31" max="31" width="13.42578125" customWidth="1"/>
    <col min="34" max="34" width="16.28515625" customWidth="1"/>
  </cols>
  <sheetData>
    <row r="1" spans="1:14" s="13" customFormat="1" x14ac:dyDescent="0.25">
      <c r="A1" s="13" t="s">
        <v>0</v>
      </c>
      <c r="B1" s="13" t="s">
        <v>117</v>
      </c>
      <c r="C1" s="13" t="s">
        <v>118</v>
      </c>
      <c r="D1" s="13" t="s">
        <v>142</v>
      </c>
      <c r="E1" s="13" t="s">
        <v>143</v>
      </c>
      <c r="F1" s="13" t="s">
        <v>144</v>
      </c>
      <c r="G1" s="13" t="s">
        <v>145</v>
      </c>
      <c r="H1" s="13" t="s">
        <v>146</v>
      </c>
      <c r="I1" s="13" t="s">
        <v>147</v>
      </c>
      <c r="J1" s="13" t="s">
        <v>148</v>
      </c>
      <c r="K1" s="13" t="s">
        <v>149</v>
      </c>
      <c r="L1" s="13" t="s">
        <v>150</v>
      </c>
      <c r="M1" s="13" t="s">
        <v>119</v>
      </c>
      <c r="N1" s="13" t="s">
        <v>120</v>
      </c>
    </row>
    <row r="2" spans="1:14" x14ac:dyDescent="0.25">
      <c r="A2" t="s">
        <v>18</v>
      </c>
      <c r="B2" s="5" t="s">
        <v>20</v>
      </c>
      <c r="C2" t="s">
        <v>121</v>
      </c>
      <c r="D2">
        <v>11</v>
      </c>
      <c r="E2">
        <f>D2</f>
        <v>11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122</v>
      </c>
      <c r="N2" t="s">
        <v>122</v>
      </c>
    </row>
    <row r="3" spans="1:14" x14ac:dyDescent="0.25">
      <c r="A3" t="s">
        <v>18</v>
      </c>
      <c r="B3" s="5" t="s">
        <v>20</v>
      </c>
      <c r="C3" t="s">
        <v>121</v>
      </c>
      <c r="D3">
        <v>9</v>
      </c>
      <c r="E3">
        <f t="shared" ref="E3:E60" si="0">D3</f>
        <v>9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  <c r="L3" t="s">
        <v>42</v>
      </c>
      <c r="M3" t="s">
        <v>122</v>
      </c>
      <c r="N3" t="s">
        <v>122</v>
      </c>
    </row>
    <row r="4" spans="1:14" x14ac:dyDescent="0.25">
      <c r="A4" t="s">
        <v>18</v>
      </c>
      <c r="B4" s="5" t="s">
        <v>20</v>
      </c>
      <c r="C4" t="s">
        <v>121</v>
      </c>
      <c r="D4">
        <v>22.9</v>
      </c>
      <c r="E4">
        <f t="shared" si="0"/>
        <v>22.9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122</v>
      </c>
      <c r="N4" t="s">
        <v>122</v>
      </c>
    </row>
    <row r="5" spans="1:14" x14ac:dyDescent="0.25">
      <c r="A5" t="s">
        <v>18</v>
      </c>
      <c r="B5" s="5" t="s">
        <v>20</v>
      </c>
      <c r="C5" t="s">
        <v>121</v>
      </c>
      <c r="D5">
        <v>12.5</v>
      </c>
      <c r="E5">
        <f t="shared" si="0"/>
        <v>12.5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122</v>
      </c>
      <c r="N5" t="s">
        <v>122</v>
      </c>
    </row>
    <row r="6" spans="1:14" x14ac:dyDescent="0.25">
      <c r="A6" t="s">
        <v>18</v>
      </c>
      <c r="B6" s="5" t="s">
        <v>20</v>
      </c>
      <c r="C6" t="s">
        <v>121</v>
      </c>
      <c r="D6">
        <v>14.4</v>
      </c>
      <c r="E6">
        <f t="shared" si="0"/>
        <v>14.4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122</v>
      </c>
      <c r="N6" t="s">
        <v>122</v>
      </c>
    </row>
    <row r="7" spans="1:14" x14ac:dyDescent="0.25">
      <c r="A7" t="s">
        <v>18</v>
      </c>
      <c r="B7" s="5" t="s">
        <v>20</v>
      </c>
      <c r="C7" t="s">
        <v>121</v>
      </c>
      <c r="D7">
        <v>23</v>
      </c>
      <c r="E7">
        <f t="shared" si="0"/>
        <v>23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122</v>
      </c>
      <c r="N7" t="s">
        <v>122</v>
      </c>
    </row>
    <row r="8" spans="1:14" x14ac:dyDescent="0.25">
      <c r="A8" t="s">
        <v>18</v>
      </c>
      <c r="B8" s="5" t="s">
        <v>20</v>
      </c>
      <c r="C8" t="s">
        <v>121</v>
      </c>
      <c r="D8">
        <v>21.5</v>
      </c>
      <c r="E8">
        <f t="shared" si="0"/>
        <v>21.5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122</v>
      </c>
      <c r="N8" t="s">
        <v>122</v>
      </c>
    </row>
    <row r="9" spans="1:14" x14ac:dyDescent="0.25">
      <c r="A9" t="s">
        <v>18</v>
      </c>
      <c r="B9" s="5" t="s">
        <v>20</v>
      </c>
      <c r="C9" t="s">
        <v>121</v>
      </c>
      <c r="D9">
        <v>23.2</v>
      </c>
      <c r="E9">
        <f t="shared" si="0"/>
        <v>23.2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122</v>
      </c>
      <c r="N9" t="s">
        <v>122</v>
      </c>
    </row>
    <row r="10" spans="1:14" x14ac:dyDescent="0.25">
      <c r="A10" t="s">
        <v>18</v>
      </c>
      <c r="B10" s="5" t="s">
        <v>20</v>
      </c>
      <c r="C10" t="s">
        <v>121</v>
      </c>
      <c r="D10">
        <v>17.600000000000001</v>
      </c>
      <c r="E10">
        <f t="shared" si="0"/>
        <v>17.600000000000001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122</v>
      </c>
      <c r="N10" t="s">
        <v>122</v>
      </c>
    </row>
    <row r="11" spans="1:14" x14ac:dyDescent="0.25">
      <c r="A11" t="s">
        <v>18</v>
      </c>
      <c r="B11" s="5" t="s">
        <v>20</v>
      </c>
      <c r="C11" t="s">
        <v>121</v>
      </c>
      <c r="D11">
        <v>22.2</v>
      </c>
      <c r="E11">
        <f t="shared" si="0"/>
        <v>22.2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122</v>
      </c>
      <c r="N11" t="s">
        <v>122</v>
      </c>
    </row>
    <row r="12" spans="1:14" x14ac:dyDescent="0.25">
      <c r="A12" t="s">
        <v>18</v>
      </c>
      <c r="B12" s="5" t="s">
        <v>20</v>
      </c>
      <c r="C12" t="s">
        <v>121</v>
      </c>
      <c r="D12">
        <v>9.6</v>
      </c>
      <c r="E12">
        <f t="shared" si="0"/>
        <v>9.6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122</v>
      </c>
      <c r="N12" t="s">
        <v>122</v>
      </c>
    </row>
    <row r="13" spans="1:14" x14ac:dyDescent="0.25">
      <c r="A13" t="s">
        <v>18</v>
      </c>
      <c r="B13" s="5" t="s">
        <v>20</v>
      </c>
      <c r="C13" t="s">
        <v>121</v>
      </c>
      <c r="D13">
        <v>15.9</v>
      </c>
      <c r="E13">
        <f t="shared" si="0"/>
        <v>15.9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122</v>
      </c>
      <c r="N13" t="s">
        <v>122</v>
      </c>
    </row>
    <row r="14" spans="1:14" x14ac:dyDescent="0.25">
      <c r="A14" t="s">
        <v>18</v>
      </c>
      <c r="B14" s="5" t="s">
        <v>20</v>
      </c>
      <c r="C14" t="s">
        <v>121</v>
      </c>
      <c r="D14">
        <v>17.100000000000001</v>
      </c>
      <c r="E14">
        <f t="shared" si="0"/>
        <v>17.100000000000001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122</v>
      </c>
      <c r="N14" t="s">
        <v>122</v>
      </c>
    </row>
    <row r="15" spans="1:14" x14ac:dyDescent="0.25">
      <c r="A15" t="s">
        <v>18</v>
      </c>
      <c r="B15" s="5" t="s">
        <v>20</v>
      </c>
      <c r="C15" t="s">
        <v>121</v>
      </c>
      <c r="D15">
        <v>9.1999999999999993</v>
      </c>
      <c r="E15">
        <f t="shared" si="0"/>
        <v>9.1999999999999993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122</v>
      </c>
      <c r="N15" t="s">
        <v>122</v>
      </c>
    </row>
    <row r="16" spans="1:14" x14ac:dyDescent="0.25">
      <c r="A16" t="s">
        <v>18</v>
      </c>
      <c r="B16" s="5" t="s">
        <v>20</v>
      </c>
      <c r="C16" t="s">
        <v>121</v>
      </c>
      <c r="D16">
        <v>11.9</v>
      </c>
      <c r="E16">
        <f t="shared" si="0"/>
        <v>11.9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122</v>
      </c>
      <c r="N16" t="s">
        <v>122</v>
      </c>
    </row>
    <row r="17" spans="1:14" x14ac:dyDescent="0.25">
      <c r="A17" t="s">
        <v>18</v>
      </c>
      <c r="B17" s="5" t="s">
        <v>20</v>
      </c>
      <c r="C17" t="s">
        <v>121</v>
      </c>
      <c r="D17">
        <v>9.6</v>
      </c>
      <c r="E17">
        <f t="shared" si="0"/>
        <v>9.6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122</v>
      </c>
      <c r="N17" t="s">
        <v>122</v>
      </c>
    </row>
    <row r="18" spans="1:14" x14ac:dyDescent="0.25">
      <c r="A18" t="s">
        <v>18</v>
      </c>
      <c r="B18" s="5" t="s">
        <v>20</v>
      </c>
      <c r="C18" t="s">
        <v>121</v>
      </c>
      <c r="D18">
        <v>18.899999999999999</v>
      </c>
      <c r="E18">
        <f t="shared" si="0"/>
        <v>18.899999999999999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122</v>
      </c>
      <c r="N18" t="s">
        <v>122</v>
      </c>
    </row>
    <row r="19" spans="1:14" x14ac:dyDescent="0.25">
      <c r="A19" t="s">
        <v>18</v>
      </c>
      <c r="B19" s="5" t="s">
        <v>20</v>
      </c>
      <c r="C19" t="s">
        <v>121</v>
      </c>
      <c r="D19">
        <v>15</v>
      </c>
      <c r="E19">
        <f t="shared" si="0"/>
        <v>15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  <c r="L19" t="s">
        <v>42</v>
      </c>
      <c r="M19" t="s">
        <v>122</v>
      </c>
      <c r="N19" t="s">
        <v>122</v>
      </c>
    </row>
    <row r="20" spans="1:14" x14ac:dyDescent="0.25">
      <c r="A20" t="s">
        <v>18</v>
      </c>
      <c r="B20" s="5" t="s">
        <v>20</v>
      </c>
      <c r="C20" t="s">
        <v>121</v>
      </c>
      <c r="D20">
        <v>13.9</v>
      </c>
      <c r="E20">
        <f t="shared" si="0"/>
        <v>13.9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122</v>
      </c>
      <c r="N20" t="s">
        <v>122</v>
      </c>
    </row>
    <row r="21" spans="1:14" x14ac:dyDescent="0.25">
      <c r="A21" t="s">
        <v>18</v>
      </c>
      <c r="B21" s="5" t="s">
        <v>20</v>
      </c>
      <c r="C21" t="s">
        <v>121</v>
      </c>
      <c r="D21">
        <v>15.1</v>
      </c>
      <c r="E21">
        <f t="shared" si="0"/>
        <v>15.1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122</v>
      </c>
      <c r="N21" t="s">
        <v>122</v>
      </c>
    </row>
    <row r="22" spans="1:14" x14ac:dyDescent="0.25">
      <c r="A22" t="s">
        <v>18</v>
      </c>
      <c r="B22" s="5" t="s">
        <v>20</v>
      </c>
      <c r="C22" t="s">
        <v>121</v>
      </c>
      <c r="D22">
        <v>14.7</v>
      </c>
      <c r="E22">
        <f t="shared" si="0"/>
        <v>14.7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42</v>
      </c>
      <c r="M22" t="s">
        <v>122</v>
      </c>
      <c r="N22" t="s">
        <v>122</v>
      </c>
    </row>
    <row r="23" spans="1:14" x14ac:dyDescent="0.25">
      <c r="A23" t="s">
        <v>18</v>
      </c>
      <c r="B23" s="5" t="s">
        <v>20</v>
      </c>
      <c r="C23" t="s">
        <v>121</v>
      </c>
      <c r="D23">
        <v>30</v>
      </c>
      <c r="E23">
        <f t="shared" si="0"/>
        <v>30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122</v>
      </c>
      <c r="N23" t="s">
        <v>122</v>
      </c>
    </row>
    <row r="24" spans="1:14" x14ac:dyDescent="0.25">
      <c r="A24" t="s">
        <v>18</v>
      </c>
      <c r="B24" s="5" t="s">
        <v>20</v>
      </c>
      <c r="C24" t="s">
        <v>121</v>
      </c>
      <c r="D24">
        <v>11.7</v>
      </c>
      <c r="E24">
        <f t="shared" si="0"/>
        <v>11.7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122</v>
      </c>
      <c r="N24" t="s">
        <v>122</v>
      </c>
    </row>
    <row r="25" spans="1:14" x14ac:dyDescent="0.25">
      <c r="A25" t="s">
        <v>18</v>
      </c>
      <c r="B25" s="5" t="s">
        <v>20</v>
      </c>
      <c r="C25" t="s">
        <v>121</v>
      </c>
      <c r="D25">
        <v>9.8000000000000007</v>
      </c>
      <c r="E25">
        <f t="shared" si="0"/>
        <v>9.8000000000000007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122</v>
      </c>
      <c r="N25" t="s">
        <v>122</v>
      </c>
    </row>
    <row r="26" spans="1:14" x14ac:dyDescent="0.25">
      <c r="A26" t="s">
        <v>18</v>
      </c>
      <c r="B26" s="5" t="s">
        <v>20</v>
      </c>
      <c r="C26" t="s">
        <v>121</v>
      </c>
      <c r="D26">
        <v>17.100000000000001</v>
      </c>
      <c r="E26">
        <f t="shared" si="0"/>
        <v>17.100000000000001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122</v>
      </c>
      <c r="N26" t="s">
        <v>122</v>
      </c>
    </row>
    <row r="27" spans="1:14" x14ac:dyDescent="0.25">
      <c r="A27" t="s">
        <v>18</v>
      </c>
      <c r="B27" s="5" t="s">
        <v>20</v>
      </c>
      <c r="C27" t="s">
        <v>121</v>
      </c>
      <c r="D27">
        <v>24.6</v>
      </c>
      <c r="E27">
        <f t="shared" si="0"/>
        <v>24.6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122</v>
      </c>
      <c r="N27" t="s">
        <v>122</v>
      </c>
    </row>
    <row r="28" spans="1:14" x14ac:dyDescent="0.25">
      <c r="A28" t="s">
        <v>18</v>
      </c>
      <c r="B28" s="5" t="s">
        <v>20</v>
      </c>
      <c r="C28" t="s">
        <v>121</v>
      </c>
      <c r="D28">
        <v>28.6</v>
      </c>
      <c r="E28">
        <f t="shared" si="0"/>
        <v>28.6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122</v>
      </c>
      <c r="N28" t="s">
        <v>122</v>
      </c>
    </row>
    <row r="29" spans="1:14" x14ac:dyDescent="0.25">
      <c r="A29" t="s">
        <v>18</v>
      </c>
      <c r="B29" s="5" t="s">
        <v>20</v>
      </c>
      <c r="C29" t="s">
        <v>121</v>
      </c>
      <c r="D29">
        <v>26.5</v>
      </c>
      <c r="E29">
        <f t="shared" si="0"/>
        <v>26.5</v>
      </c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  <c r="L29" t="s">
        <v>42</v>
      </c>
      <c r="M29" t="s">
        <v>122</v>
      </c>
      <c r="N29" t="s">
        <v>122</v>
      </c>
    </row>
    <row r="30" spans="1:14" x14ac:dyDescent="0.25">
      <c r="A30" t="s">
        <v>18</v>
      </c>
      <c r="B30" s="5" t="s">
        <v>20</v>
      </c>
      <c r="C30" t="s">
        <v>121</v>
      </c>
      <c r="D30">
        <v>28.9</v>
      </c>
      <c r="E30">
        <f t="shared" si="0"/>
        <v>28.9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  <c r="L30" t="s">
        <v>42</v>
      </c>
      <c r="M30" t="s">
        <v>122</v>
      </c>
      <c r="N30" t="s">
        <v>122</v>
      </c>
    </row>
    <row r="31" spans="1:14" x14ac:dyDescent="0.25">
      <c r="A31" t="s">
        <v>18</v>
      </c>
      <c r="B31" s="5" t="s">
        <v>20</v>
      </c>
      <c r="C31" t="s">
        <v>121</v>
      </c>
      <c r="D31">
        <v>12.6</v>
      </c>
      <c r="E31">
        <f t="shared" si="0"/>
        <v>12.6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  <c r="L31" t="s">
        <v>42</v>
      </c>
      <c r="M31" t="s">
        <v>122</v>
      </c>
      <c r="N31" t="s">
        <v>122</v>
      </c>
    </row>
    <row r="32" spans="1:14" x14ac:dyDescent="0.25">
      <c r="A32" t="s">
        <v>18</v>
      </c>
      <c r="B32" s="5" t="s">
        <v>20</v>
      </c>
      <c r="C32" t="s">
        <v>121</v>
      </c>
      <c r="D32">
        <v>20.399999999999999</v>
      </c>
      <c r="E32">
        <f t="shared" si="0"/>
        <v>20.399999999999999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42</v>
      </c>
      <c r="M32" t="s">
        <v>122</v>
      </c>
      <c r="N32" t="s">
        <v>122</v>
      </c>
    </row>
    <row r="33" spans="1:14" x14ac:dyDescent="0.25">
      <c r="A33" t="s">
        <v>18</v>
      </c>
      <c r="B33" s="5" t="s">
        <v>20</v>
      </c>
      <c r="C33" t="s">
        <v>121</v>
      </c>
      <c r="D33">
        <v>44.3</v>
      </c>
      <c r="E33">
        <f t="shared" si="0"/>
        <v>44.3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122</v>
      </c>
      <c r="N33" t="s">
        <v>122</v>
      </c>
    </row>
    <row r="34" spans="1:14" x14ac:dyDescent="0.25">
      <c r="A34" t="s">
        <v>18</v>
      </c>
      <c r="B34" s="5" t="s">
        <v>20</v>
      </c>
      <c r="C34" t="s">
        <v>121</v>
      </c>
      <c r="D34">
        <v>12</v>
      </c>
      <c r="E34">
        <f t="shared" si="0"/>
        <v>12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  <c r="L34" t="s">
        <v>42</v>
      </c>
      <c r="M34" t="s">
        <v>122</v>
      </c>
      <c r="N34" t="s">
        <v>122</v>
      </c>
    </row>
    <row r="35" spans="1:14" x14ac:dyDescent="0.25">
      <c r="A35" t="s">
        <v>18</v>
      </c>
      <c r="B35" s="5" t="s">
        <v>20</v>
      </c>
      <c r="C35" t="s">
        <v>123</v>
      </c>
      <c r="D35">
        <v>8</v>
      </c>
      <c r="E35">
        <f t="shared" si="0"/>
        <v>8</v>
      </c>
      <c r="F35" t="s">
        <v>42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  <c r="L35" t="s">
        <v>42</v>
      </c>
      <c r="M35" t="s">
        <v>122</v>
      </c>
      <c r="N35" t="s">
        <v>122</v>
      </c>
    </row>
    <row r="36" spans="1:14" x14ac:dyDescent="0.25">
      <c r="A36" t="s">
        <v>18</v>
      </c>
      <c r="B36" s="5" t="s">
        <v>20</v>
      </c>
      <c r="C36" t="s">
        <v>121</v>
      </c>
      <c r="D36">
        <v>26.4</v>
      </c>
      <c r="E36">
        <f t="shared" si="0"/>
        <v>26.4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122</v>
      </c>
      <c r="N36" t="s">
        <v>122</v>
      </c>
    </row>
    <row r="37" spans="1:14" x14ac:dyDescent="0.25">
      <c r="A37" t="s">
        <v>18</v>
      </c>
      <c r="B37" s="5" t="s">
        <v>20</v>
      </c>
      <c r="C37" t="s">
        <v>123</v>
      </c>
      <c r="D37">
        <v>12.1</v>
      </c>
      <c r="E37">
        <f t="shared" si="0"/>
        <v>12.1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  <c r="L37" t="s">
        <v>42</v>
      </c>
      <c r="M37" t="s">
        <v>122</v>
      </c>
      <c r="N37" t="s">
        <v>122</v>
      </c>
    </row>
    <row r="38" spans="1:14" x14ac:dyDescent="0.25">
      <c r="A38" t="s">
        <v>18</v>
      </c>
      <c r="B38" s="5" t="s">
        <v>20</v>
      </c>
      <c r="C38" t="s">
        <v>123</v>
      </c>
      <c r="D38">
        <v>12.2</v>
      </c>
      <c r="E38">
        <f t="shared" si="0"/>
        <v>12.2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122</v>
      </c>
      <c r="N38" t="s">
        <v>122</v>
      </c>
    </row>
    <row r="39" spans="1:14" x14ac:dyDescent="0.25">
      <c r="A39" t="s">
        <v>18</v>
      </c>
      <c r="B39" s="5" t="s">
        <v>20</v>
      </c>
      <c r="C39" t="s">
        <v>123</v>
      </c>
      <c r="D39">
        <v>14.6</v>
      </c>
      <c r="E39">
        <f t="shared" si="0"/>
        <v>14.6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42</v>
      </c>
      <c r="M39" t="s">
        <v>122</v>
      </c>
      <c r="N39" t="s">
        <v>122</v>
      </c>
    </row>
    <row r="40" spans="1:14" x14ac:dyDescent="0.25">
      <c r="A40" t="s">
        <v>18</v>
      </c>
      <c r="B40" s="5" t="s">
        <v>20</v>
      </c>
      <c r="C40" t="s">
        <v>123</v>
      </c>
      <c r="D40">
        <v>8.8000000000000007</v>
      </c>
      <c r="E40">
        <f t="shared" si="0"/>
        <v>8.8000000000000007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 t="s">
        <v>42</v>
      </c>
      <c r="M40" t="s">
        <v>122</v>
      </c>
      <c r="N40" t="s">
        <v>122</v>
      </c>
    </row>
    <row r="41" spans="1:14" x14ac:dyDescent="0.25">
      <c r="A41" t="s">
        <v>18</v>
      </c>
      <c r="B41" s="5" t="s">
        <v>20</v>
      </c>
      <c r="C41" t="s">
        <v>121</v>
      </c>
      <c r="D41">
        <v>2</v>
      </c>
      <c r="E41">
        <f t="shared" si="0"/>
        <v>2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 t="s">
        <v>42</v>
      </c>
      <c r="M41" t="s">
        <v>122</v>
      </c>
      <c r="N41" t="s">
        <v>122</v>
      </c>
    </row>
    <row r="42" spans="1:14" x14ac:dyDescent="0.25">
      <c r="A42" t="s">
        <v>18</v>
      </c>
      <c r="B42" s="5" t="s">
        <v>20</v>
      </c>
      <c r="C42" t="s">
        <v>121</v>
      </c>
      <c r="D42">
        <v>12.2</v>
      </c>
      <c r="E42">
        <f t="shared" si="0"/>
        <v>12.2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122</v>
      </c>
      <c r="N42" t="s">
        <v>122</v>
      </c>
    </row>
    <row r="43" spans="1:14" x14ac:dyDescent="0.25">
      <c r="A43" t="s">
        <v>18</v>
      </c>
      <c r="B43" s="5" t="s">
        <v>20</v>
      </c>
      <c r="C43" t="s">
        <v>121</v>
      </c>
      <c r="D43">
        <v>18.899999999999999</v>
      </c>
      <c r="E43">
        <f t="shared" si="0"/>
        <v>18.899999999999999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122</v>
      </c>
      <c r="N43" t="s">
        <v>122</v>
      </c>
    </row>
    <row r="44" spans="1:14" x14ac:dyDescent="0.25">
      <c r="A44" t="s">
        <v>18</v>
      </c>
      <c r="B44" s="5" t="s">
        <v>20</v>
      </c>
      <c r="C44" t="s">
        <v>121</v>
      </c>
      <c r="D44">
        <v>18.2</v>
      </c>
      <c r="E44">
        <f t="shared" si="0"/>
        <v>18.2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42</v>
      </c>
      <c r="M44" t="s">
        <v>122</v>
      </c>
      <c r="N44" t="s">
        <v>122</v>
      </c>
    </row>
    <row r="45" spans="1:14" x14ac:dyDescent="0.25">
      <c r="A45" t="s">
        <v>18</v>
      </c>
      <c r="B45" s="5" t="s">
        <v>20</v>
      </c>
      <c r="C45" t="s">
        <v>121</v>
      </c>
      <c r="D45">
        <v>25.8</v>
      </c>
      <c r="E45">
        <f t="shared" si="0"/>
        <v>25.8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  <c r="L45" t="s">
        <v>42</v>
      </c>
      <c r="M45" t="s">
        <v>122</v>
      </c>
      <c r="N45" t="s">
        <v>122</v>
      </c>
    </row>
    <row r="46" spans="1:14" x14ac:dyDescent="0.25">
      <c r="A46" t="s">
        <v>18</v>
      </c>
      <c r="B46" s="5" t="s">
        <v>20</v>
      </c>
      <c r="C46" t="s">
        <v>121</v>
      </c>
      <c r="D46">
        <v>21.1</v>
      </c>
      <c r="E46">
        <f t="shared" si="0"/>
        <v>21.1</v>
      </c>
      <c r="F46" t="s">
        <v>42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  <c r="L46" t="s">
        <v>42</v>
      </c>
      <c r="M46" t="s">
        <v>122</v>
      </c>
      <c r="N46" t="s">
        <v>122</v>
      </c>
    </row>
    <row r="47" spans="1:14" x14ac:dyDescent="0.25">
      <c r="A47" t="s">
        <v>18</v>
      </c>
      <c r="B47" s="5" t="s">
        <v>20</v>
      </c>
      <c r="C47" t="s">
        <v>121</v>
      </c>
      <c r="D47">
        <v>14.7</v>
      </c>
      <c r="E47">
        <f t="shared" si="0"/>
        <v>14.7</v>
      </c>
      <c r="F47" t="s">
        <v>42</v>
      </c>
      <c r="G47" t="s">
        <v>42</v>
      </c>
      <c r="H47" t="s">
        <v>42</v>
      </c>
      <c r="I47" t="s">
        <v>42</v>
      </c>
      <c r="J47" t="s">
        <v>42</v>
      </c>
      <c r="K47" t="s">
        <v>42</v>
      </c>
      <c r="L47" t="s">
        <v>42</v>
      </c>
      <c r="M47" t="s">
        <v>122</v>
      </c>
      <c r="N47" t="s">
        <v>122</v>
      </c>
    </row>
    <row r="48" spans="1:14" x14ac:dyDescent="0.25">
      <c r="A48" t="s">
        <v>18</v>
      </c>
      <c r="B48" s="5" t="s">
        <v>20</v>
      </c>
      <c r="C48" t="s">
        <v>121</v>
      </c>
      <c r="D48">
        <v>12.6</v>
      </c>
      <c r="E48">
        <f t="shared" si="0"/>
        <v>12.6</v>
      </c>
      <c r="F48" t="s">
        <v>42</v>
      </c>
      <c r="G48" t="s">
        <v>42</v>
      </c>
      <c r="H48" t="s">
        <v>42</v>
      </c>
      <c r="I48" t="s">
        <v>42</v>
      </c>
      <c r="J48" t="s">
        <v>42</v>
      </c>
      <c r="K48" t="s">
        <v>42</v>
      </c>
      <c r="L48" t="s">
        <v>42</v>
      </c>
      <c r="M48" t="s">
        <v>122</v>
      </c>
      <c r="N48" t="s">
        <v>122</v>
      </c>
    </row>
    <row r="49" spans="1:14" x14ac:dyDescent="0.25">
      <c r="A49" t="s">
        <v>18</v>
      </c>
      <c r="B49" s="5" t="s">
        <v>20</v>
      </c>
      <c r="C49" t="s">
        <v>121</v>
      </c>
      <c r="D49">
        <v>9.1999999999999993</v>
      </c>
      <c r="E49">
        <f t="shared" si="0"/>
        <v>9.1999999999999993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42</v>
      </c>
      <c r="L49" t="s">
        <v>42</v>
      </c>
      <c r="M49" t="s">
        <v>122</v>
      </c>
      <c r="N49" t="s">
        <v>122</v>
      </c>
    </row>
    <row r="50" spans="1:14" x14ac:dyDescent="0.25">
      <c r="A50" t="s">
        <v>18</v>
      </c>
      <c r="B50" s="5" t="s">
        <v>20</v>
      </c>
      <c r="C50" t="s">
        <v>121</v>
      </c>
      <c r="D50">
        <v>23</v>
      </c>
      <c r="E50">
        <f t="shared" si="0"/>
        <v>23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t="s">
        <v>42</v>
      </c>
      <c r="L50" t="s">
        <v>42</v>
      </c>
      <c r="M50" t="s">
        <v>122</v>
      </c>
      <c r="N50" t="s">
        <v>122</v>
      </c>
    </row>
    <row r="51" spans="1:14" x14ac:dyDescent="0.25">
      <c r="A51" t="s">
        <v>18</v>
      </c>
      <c r="B51" s="5" t="s">
        <v>20</v>
      </c>
      <c r="C51" t="s">
        <v>121</v>
      </c>
      <c r="D51">
        <v>25.8</v>
      </c>
      <c r="E51">
        <f t="shared" si="0"/>
        <v>25.8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 t="s">
        <v>42</v>
      </c>
      <c r="L51" t="s">
        <v>42</v>
      </c>
      <c r="M51" t="s">
        <v>122</v>
      </c>
      <c r="N51" t="s">
        <v>122</v>
      </c>
    </row>
    <row r="52" spans="1:14" x14ac:dyDescent="0.25">
      <c r="A52" t="s">
        <v>18</v>
      </c>
      <c r="B52" s="5" t="s">
        <v>20</v>
      </c>
      <c r="C52" t="s">
        <v>121</v>
      </c>
      <c r="D52">
        <v>14.6</v>
      </c>
      <c r="E52">
        <f t="shared" si="0"/>
        <v>14.6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42</v>
      </c>
      <c r="L52" t="s">
        <v>42</v>
      </c>
      <c r="M52" t="s">
        <v>122</v>
      </c>
      <c r="N52" t="s">
        <v>122</v>
      </c>
    </row>
    <row r="53" spans="1:14" x14ac:dyDescent="0.25">
      <c r="A53" t="s">
        <v>18</v>
      </c>
      <c r="B53" s="5" t="s">
        <v>20</v>
      </c>
      <c r="C53" t="s">
        <v>121</v>
      </c>
      <c r="D53">
        <v>9.3000000000000007</v>
      </c>
      <c r="E53">
        <f t="shared" si="0"/>
        <v>9.3000000000000007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  <c r="L53" t="s">
        <v>42</v>
      </c>
      <c r="M53" t="s">
        <v>122</v>
      </c>
      <c r="N53" t="s">
        <v>122</v>
      </c>
    </row>
    <row r="54" spans="1:14" x14ac:dyDescent="0.25">
      <c r="A54" t="s">
        <v>18</v>
      </c>
      <c r="B54" s="5" t="s">
        <v>20</v>
      </c>
      <c r="C54" t="s">
        <v>121</v>
      </c>
      <c r="D54">
        <v>12.9</v>
      </c>
      <c r="E54">
        <f t="shared" si="0"/>
        <v>12.9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122</v>
      </c>
      <c r="N54" t="s">
        <v>122</v>
      </c>
    </row>
    <row r="55" spans="1:14" x14ac:dyDescent="0.25">
      <c r="A55" t="s">
        <v>24</v>
      </c>
      <c r="B55" s="5" t="s">
        <v>20</v>
      </c>
      <c r="C55" t="s">
        <v>121</v>
      </c>
      <c r="D55">
        <v>9.1</v>
      </c>
      <c r="E55">
        <f t="shared" si="0"/>
        <v>9.1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122</v>
      </c>
      <c r="N55" t="s">
        <v>122</v>
      </c>
    </row>
    <row r="56" spans="1:14" x14ac:dyDescent="0.25">
      <c r="A56" t="s">
        <v>24</v>
      </c>
      <c r="B56" s="5" t="s">
        <v>20</v>
      </c>
      <c r="C56" t="s">
        <v>121</v>
      </c>
      <c r="D56">
        <v>17.899999999999999</v>
      </c>
      <c r="E56">
        <f t="shared" si="0"/>
        <v>17.899999999999999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122</v>
      </c>
      <c r="N56" t="s">
        <v>122</v>
      </c>
    </row>
    <row r="57" spans="1:14" x14ac:dyDescent="0.25">
      <c r="A57" t="s">
        <v>24</v>
      </c>
      <c r="B57" s="5" t="s">
        <v>20</v>
      </c>
      <c r="C57" t="s">
        <v>121</v>
      </c>
      <c r="D57">
        <v>14.7</v>
      </c>
      <c r="E57">
        <f t="shared" si="0"/>
        <v>14.7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122</v>
      </c>
      <c r="N57" t="s">
        <v>122</v>
      </c>
    </row>
    <row r="58" spans="1:14" x14ac:dyDescent="0.25">
      <c r="A58" t="s">
        <v>24</v>
      </c>
      <c r="B58" s="5" t="s">
        <v>20</v>
      </c>
      <c r="C58" t="s">
        <v>121</v>
      </c>
      <c r="D58">
        <v>17.2</v>
      </c>
      <c r="E58">
        <f t="shared" si="0"/>
        <v>17.2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 t="s">
        <v>42</v>
      </c>
      <c r="L58" t="s">
        <v>42</v>
      </c>
      <c r="M58" t="s">
        <v>122</v>
      </c>
      <c r="N58" t="s">
        <v>122</v>
      </c>
    </row>
    <row r="59" spans="1:14" x14ac:dyDescent="0.25">
      <c r="A59" t="s">
        <v>24</v>
      </c>
      <c r="B59" s="5" t="s">
        <v>20</v>
      </c>
      <c r="C59" t="s">
        <v>121</v>
      </c>
      <c r="D59">
        <v>15.5</v>
      </c>
      <c r="E59">
        <f t="shared" si="0"/>
        <v>15.5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 t="s">
        <v>42</v>
      </c>
      <c r="L59" t="s">
        <v>42</v>
      </c>
      <c r="M59" t="s">
        <v>122</v>
      </c>
      <c r="N59" t="s">
        <v>122</v>
      </c>
    </row>
    <row r="60" spans="1:14" x14ac:dyDescent="0.25">
      <c r="A60" t="s">
        <v>24</v>
      </c>
      <c r="B60" s="5" t="s">
        <v>20</v>
      </c>
      <c r="C60" t="s">
        <v>121</v>
      </c>
      <c r="D60">
        <v>14.6</v>
      </c>
      <c r="E60">
        <f t="shared" si="0"/>
        <v>14.6</v>
      </c>
      <c r="F60" t="s">
        <v>42</v>
      </c>
      <c r="G60" t="s">
        <v>42</v>
      </c>
      <c r="H60" t="s">
        <v>42</v>
      </c>
      <c r="I60" t="s">
        <v>42</v>
      </c>
      <c r="J60" t="s">
        <v>42</v>
      </c>
      <c r="K60" t="s">
        <v>42</v>
      </c>
      <c r="L60" t="s">
        <v>42</v>
      </c>
      <c r="M60" t="s">
        <v>122</v>
      </c>
      <c r="N60" t="s">
        <v>122</v>
      </c>
    </row>
    <row r="61" spans="1:14" x14ac:dyDescent="0.25">
      <c r="A61" t="s">
        <v>24</v>
      </c>
      <c r="B61" s="5" t="s">
        <v>20</v>
      </c>
      <c r="C61" t="s">
        <v>121</v>
      </c>
      <c r="D61">
        <f>16.4+14.8</f>
        <v>31.2</v>
      </c>
      <c r="E61">
        <v>16.399999999999999</v>
      </c>
      <c r="F61">
        <v>14.8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  <c r="L61" t="s">
        <v>42</v>
      </c>
      <c r="M61" t="s">
        <v>124</v>
      </c>
      <c r="N61" t="s">
        <v>122</v>
      </c>
    </row>
    <row r="62" spans="1:14" x14ac:dyDescent="0.25">
      <c r="A62" t="s">
        <v>24</v>
      </c>
      <c r="B62" s="5" t="s">
        <v>20</v>
      </c>
      <c r="C62" t="s">
        <v>121</v>
      </c>
      <c r="D62">
        <f>14.5+22</f>
        <v>36.5</v>
      </c>
      <c r="E62">
        <v>14.5</v>
      </c>
      <c r="F62">
        <v>22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  <c r="L62" t="s">
        <v>42</v>
      </c>
      <c r="M62" t="s">
        <v>124</v>
      </c>
      <c r="N62" t="s">
        <v>122</v>
      </c>
    </row>
    <row r="63" spans="1:14" x14ac:dyDescent="0.25">
      <c r="A63" t="s">
        <v>24</v>
      </c>
      <c r="B63" s="5" t="s">
        <v>20</v>
      </c>
      <c r="C63" t="s">
        <v>121</v>
      </c>
      <c r="D63">
        <v>17.2</v>
      </c>
      <c r="E63">
        <f t="shared" ref="E63:E96" si="1">D63</f>
        <v>17.2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122</v>
      </c>
      <c r="N63" t="s">
        <v>122</v>
      </c>
    </row>
    <row r="64" spans="1:14" x14ac:dyDescent="0.25">
      <c r="A64" t="s">
        <v>24</v>
      </c>
      <c r="B64" s="5" t="s">
        <v>20</v>
      </c>
      <c r="C64" t="s">
        <v>121</v>
      </c>
      <c r="D64">
        <v>16.2</v>
      </c>
      <c r="E64">
        <f t="shared" si="1"/>
        <v>16.2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  <c r="L64" t="s">
        <v>42</v>
      </c>
      <c r="M64" t="s">
        <v>122</v>
      </c>
      <c r="N64" t="s">
        <v>122</v>
      </c>
    </row>
    <row r="65" spans="1:14" x14ac:dyDescent="0.25">
      <c r="A65" t="s">
        <v>24</v>
      </c>
      <c r="B65" s="5" t="s">
        <v>20</v>
      </c>
      <c r="C65" t="s">
        <v>121</v>
      </c>
      <c r="D65">
        <v>17.899999999999999</v>
      </c>
      <c r="E65">
        <f t="shared" si="1"/>
        <v>17.899999999999999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  <c r="L65" t="s">
        <v>42</v>
      </c>
      <c r="M65" t="s">
        <v>122</v>
      </c>
      <c r="N65" t="s">
        <v>122</v>
      </c>
    </row>
    <row r="66" spans="1:14" x14ac:dyDescent="0.25">
      <c r="A66" t="s">
        <v>24</v>
      </c>
      <c r="B66" s="5" t="s">
        <v>20</v>
      </c>
      <c r="C66" t="s">
        <v>121</v>
      </c>
      <c r="D66">
        <v>11.2</v>
      </c>
      <c r="E66">
        <f t="shared" si="1"/>
        <v>11.2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42</v>
      </c>
      <c r="L66" t="s">
        <v>42</v>
      </c>
      <c r="M66" t="s">
        <v>122</v>
      </c>
      <c r="N66" t="s">
        <v>122</v>
      </c>
    </row>
    <row r="67" spans="1:14" x14ac:dyDescent="0.25">
      <c r="A67" t="s">
        <v>24</v>
      </c>
      <c r="B67" s="5" t="s">
        <v>20</v>
      </c>
      <c r="C67" t="s">
        <v>121</v>
      </c>
      <c r="D67">
        <v>9.4</v>
      </c>
      <c r="E67">
        <f t="shared" si="1"/>
        <v>9.4</v>
      </c>
      <c r="F67" t="s">
        <v>42</v>
      </c>
      <c r="G67" t="s">
        <v>42</v>
      </c>
      <c r="H67" t="s">
        <v>42</v>
      </c>
      <c r="I67" t="s">
        <v>42</v>
      </c>
      <c r="J67" t="s">
        <v>42</v>
      </c>
      <c r="K67" t="s">
        <v>42</v>
      </c>
      <c r="L67" t="s">
        <v>42</v>
      </c>
      <c r="M67" t="s">
        <v>122</v>
      </c>
      <c r="N67" t="s">
        <v>122</v>
      </c>
    </row>
    <row r="68" spans="1:14" x14ac:dyDescent="0.25">
      <c r="A68" t="s">
        <v>24</v>
      </c>
      <c r="B68" s="5" t="s">
        <v>20</v>
      </c>
      <c r="C68" t="s">
        <v>121</v>
      </c>
      <c r="D68">
        <v>16.8</v>
      </c>
      <c r="E68">
        <f t="shared" si="1"/>
        <v>16.8</v>
      </c>
      <c r="F68" t="s">
        <v>42</v>
      </c>
      <c r="G68" t="s">
        <v>42</v>
      </c>
      <c r="H68" t="s">
        <v>42</v>
      </c>
      <c r="I68" t="s">
        <v>42</v>
      </c>
      <c r="J68" t="s">
        <v>42</v>
      </c>
      <c r="K68" t="s">
        <v>42</v>
      </c>
      <c r="L68" t="s">
        <v>42</v>
      </c>
      <c r="M68" t="s">
        <v>122</v>
      </c>
      <c r="N68" t="s">
        <v>122</v>
      </c>
    </row>
    <row r="69" spans="1:14" x14ac:dyDescent="0.25">
      <c r="A69" t="s">
        <v>24</v>
      </c>
      <c r="B69" s="5" t="s">
        <v>20</v>
      </c>
      <c r="C69" t="s">
        <v>121</v>
      </c>
      <c r="D69">
        <v>14.8</v>
      </c>
      <c r="E69">
        <f t="shared" si="1"/>
        <v>14.8</v>
      </c>
      <c r="F69" t="s">
        <v>42</v>
      </c>
      <c r="G69" t="s">
        <v>42</v>
      </c>
      <c r="H69" t="s">
        <v>42</v>
      </c>
      <c r="I69" t="s">
        <v>42</v>
      </c>
      <c r="J69" t="s">
        <v>42</v>
      </c>
      <c r="K69" t="s">
        <v>42</v>
      </c>
      <c r="L69" t="s">
        <v>42</v>
      </c>
      <c r="M69" t="s">
        <v>122</v>
      </c>
      <c r="N69" t="s">
        <v>122</v>
      </c>
    </row>
    <row r="70" spans="1:14" x14ac:dyDescent="0.25">
      <c r="A70" t="s">
        <v>24</v>
      </c>
      <c r="B70" s="5" t="s">
        <v>20</v>
      </c>
      <c r="C70" t="s">
        <v>121</v>
      </c>
      <c r="D70">
        <v>29.5</v>
      </c>
      <c r="E70">
        <f t="shared" si="1"/>
        <v>29.5</v>
      </c>
      <c r="F70" t="s">
        <v>42</v>
      </c>
      <c r="G70" t="s">
        <v>42</v>
      </c>
      <c r="H70" t="s">
        <v>42</v>
      </c>
      <c r="I70" t="s">
        <v>42</v>
      </c>
      <c r="J70" t="s">
        <v>42</v>
      </c>
      <c r="K70" t="s">
        <v>42</v>
      </c>
      <c r="L70" t="s">
        <v>42</v>
      </c>
      <c r="M70" t="s">
        <v>122</v>
      </c>
      <c r="N70" t="s">
        <v>122</v>
      </c>
    </row>
    <row r="71" spans="1:14" x14ac:dyDescent="0.25">
      <c r="A71" t="s">
        <v>24</v>
      </c>
      <c r="B71" s="5" t="s">
        <v>20</v>
      </c>
      <c r="C71" t="s">
        <v>121</v>
      </c>
      <c r="D71">
        <v>10.8</v>
      </c>
      <c r="E71">
        <f t="shared" si="1"/>
        <v>10.8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  <c r="L71" t="s">
        <v>42</v>
      </c>
      <c r="M71" t="s">
        <v>122</v>
      </c>
      <c r="N71" t="s">
        <v>122</v>
      </c>
    </row>
    <row r="72" spans="1:14" x14ac:dyDescent="0.25">
      <c r="A72" t="s">
        <v>24</v>
      </c>
      <c r="B72" s="5" t="s">
        <v>20</v>
      </c>
      <c r="C72" t="s">
        <v>121</v>
      </c>
      <c r="D72">
        <v>26.3</v>
      </c>
      <c r="E72">
        <f t="shared" si="1"/>
        <v>26.3</v>
      </c>
      <c r="F72" t="s">
        <v>42</v>
      </c>
      <c r="G72" t="s">
        <v>42</v>
      </c>
      <c r="H72" t="s">
        <v>42</v>
      </c>
      <c r="I72" t="s">
        <v>42</v>
      </c>
      <c r="J72" t="s">
        <v>42</v>
      </c>
      <c r="K72" t="s">
        <v>42</v>
      </c>
      <c r="L72" t="s">
        <v>42</v>
      </c>
      <c r="M72" t="s">
        <v>122</v>
      </c>
      <c r="N72" t="s">
        <v>122</v>
      </c>
    </row>
    <row r="73" spans="1:14" x14ac:dyDescent="0.25">
      <c r="A73" t="s">
        <v>24</v>
      </c>
      <c r="B73" s="5" t="s">
        <v>20</v>
      </c>
      <c r="C73" t="s">
        <v>121</v>
      </c>
      <c r="D73">
        <v>16.399999999999999</v>
      </c>
      <c r="E73">
        <f t="shared" si="1"/>
        <v>16.399999999999999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  <c r="L73" t="s">
        <v>42</v>
      </c>
      <c r="M73" t="s">
        <v>122</v>
      </c>
      <c r="N73" t="s">
        <v>122</v>
      </c>
    </row>
    <row r="74" spans="1:14" x14ac:dyDescent="0.25">
      <c r="A74" t="s">
        <v>24</v>
      </c>
      <c r="B74" s="5" t="s">
        <v>20</v>
      </c>
      <c r="C74" t="s">
        <v>121</v>
      </c>
      <c r="D74">
        <v>14.6</v>
      </c>
      <c r="E74">
        <f t="shared" si="1"/>
        <v>14.6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t="s">
        <v>42</v>
      </c>
      <c r="L74" t="s">
        <v>42</v>
      </c>
      <c r="M74" t="s">
        <v>122</v>
      </c>
      <c r="N74" t="s">
        <v>122</v>
      </c>
    </row>
    <row r="75" spans="1:14" x14ac:dyDescent="0.25">
      <c r="A75" t="s">
        <v>24</v>
      </c>
      <c r="B75" s="5" t="s">
        <v>20</v>
      </c>
      <c r="C75" t="s">
        <v>121</v>
      </c>
      <c r="D75">
        <v>13.4</v>
      </c>
      <c r="E75">
        <f t="shared" si="1"/>
        <v>13.4</v>
      </c>
      <c r="F75" t="s">
        <v>42</v>
      </c>
      <c r="G75" t="s">
        <v>42</v>
      </c>
      <c r="H75" t="s">
        <v>42</v>
      </c>
      <c r="I75" t="s">
        <v>42</v>
      </c>
      <c r="J75" t="s">
        <v>42</v>
      </c>
      <c r="K75" t="s">
        <v>42</v>
      </c>
      <c r="L75" t="s">
        <v>42</v>
      </c>
      <c r="M75" t="s">
        <v>122</v>
      </c>
      <c r="N75" t="s">
        <v>122</v>
      </c>
    </row>
    <row r="76" spans="1:14" x14ac:dyDescent="0.25">
      <c r="A76" t="s">
        <v>24</v>
      </c>
      <c r="B76" s="5" t="s">
        <v>20</v>
      </c>
      <c r="C76" t="s">
        <v>121</v>
      </c>
      <c r="D76">
        <v>15</v>
      </c>
      <c r="E76">
        <f t="shared" si="1"/>
        <v>15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 t="s">
        <v>42</v>
      </c>
      <c r="L76" t="s">
        <v>42</v>
      </c>
      <c r="M76" t="s">
        <v>122</v>
      </c>
      <c r="N76" t="s">
        <v>122</v>
      </c>
    </row>
    <row r="77" spans="1:14" x14ac:dyDescent="0.25">
      <c r="A77" t="s">
        <v>24</v>
      </c>
      <c r="B77" s="5" t="s">
        <v>20</v>
      </c>
      <c r="C77" t="s">
        <v>121</v>
      </c>
      <c r="D77">
        <v>10.8</v>
      </c>
      <c r="E77">
        <f t="shared" si="1"/>
        <v>10.8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122</v>
      </c>
      <c r="N77" t="s">
        <v>122</v>
      </c>
    </row>
    <row r="78" spans="1:14" x14ac:dyDescent="0.25">
      <c r="A78" t="s">
        <v>24</v>
      </c>
      <c r="B78" s="5" t="s">
        <v>20</v>
      </c>
      <c r="C78" t="s">
        <v>121</v>
      </c>
      <c r="D78">
        <v>8.1</v>
      </c>
      <c r="E78">
        <f t="shared" si="1"/>
        <v>8.1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  <c r="L78" t="s">
        <v>42</v>
      </c>
      <c r="M78" t="s">
        <v>122</v>
      </c>
      <c r="N78" t="s">
        <v>122</v>
      </c>
    </row>
    <row r="79" spans="1:14" x14ac:dyDescent="0.25">
      <c r="A79" t="s">
        <v>24</v>
      </c>
      <c r="B79" s="5" t="s">
        <v>20</v>
      </c>
      <c r="C79" t="s">
        <v>121</v>
      </c>
      <c r="D79">
        <v>10.4</v>
      </c>
      <c r="E79">
        <f t="shared" si="1"/>
        <v>10.4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 t="s">
        <v>42</v>
      </c>
      <c r="L79" t="s">
        <v>42</v>
      </c>
      <c r="M79" t="s">
        <v>122</v>
      </c>
      <c r="N79" t="s">
        <v>122</v>
      </c>
    </row>
    <row r="80" spans="1:14" x14ac:dyDescent="0.25">
      <c r="A80" t="s">
        <v>24</v>
      </c>
      <c r="B80" s="5" t="s">
        <v>20</v>
      </c>
      <c r="C80" t="s">
        <v>121</v>
      </c>
      <c r="D80">
        <v>12.1</v>
      </c>
      <c r="E80">
        <f t="shared" si="1"/>
        <v>12.1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t="s">
        <v>42</v>
      </c>
      <c r="L80" t="s">
        <v>42</v>
      </c>
      <c r="M80" t="s">
        <v>122</v>
      </c>
      <c r="N80" t="s">
        <v>122</v>
      </c>
    </row>
    <row r="81" spans="1:14" x14ac:dyDescent="0.25">
      <c r="A81" t="s">
        <v>24</v>
      </c>
      <c r="B81" s="5" t="s">
        <v>20</v>
      </c>
      <c r="C81" t="s">
        <v>121</v>
      </c>
      <c r="D81">
        <v>20.100000000000001</v>
      </c>
      <c r="E81">
        <f t="shared" si="1"/>
        <v>20.100000000000001</v>
      </c>
      <c r="F81" t="s">
        <v>42</v>
      </c>
      <c r="G81" t="s">
        <v>42</v>
      </c>
      <c r="H81" t="s">
        <v>42</v>
      </c>
      <c r="I81" t="s">
        <v>42</v>
      </c>
      <c r="J81" t="s">
        <v>42</v>
      </c>
      <c r="K81" t="s">
        <v>42</v>
      </c>
      <c r="L81" t="s">
        <v>42</v>
      </c>
      <c r="M81" t="s">
        <v>122</v>
      </c>
      <c r="N81" t="s">
        <v>122</v>
      </c>
    </row>
    <row r="82" spans="1:14" x14ac:dyDescent="0.25">
      <c r="A82" t="s">
        <v>24</v>
      </c>
      <c r="B82" s="5" t="s">
        <v>20</v>
      </c>
      <c r="C82" t="s">
        <v>121</v>
      </c>
      <c r="D82">
        <v>17.399999999999999</v>
      </c>
      <c r="E82">
        <f t="shared" si="1"/>
        <v>17.399999999999999</v>
      </c>
      <c r="F82" t="s">
        <v>42</v>
      </c>
      <c r="G82" t="s">
        <v>42</v>
      </c>
      <c r="H82" t="s">
        <v>42</v>
      </c>
      <c r="I82" t="s">
        <v>42</v>
      </c>
      <c r="J82" t="s">
        <v>42</v>
      </c>
      <c r="K82" t="s">
        <v>42</v>
      </c>
      <c r="L82" t="s">
        <v>42</v>
      </c>
      <c r="M82" t="s">
        <v>122</v>
      </c>
      <c r="N82" t="s">
        <v>122</v>
      </c>
    </row>
    <row r="83" spans="1:14" x14ac:dyDescent="0.25">
      <c r="A83" t="s">
        <v>24</v>
      </c>
      <c r="B83" s="5" t="s">
        <v>20</v>
      </c>
      <c r="C83" t="s">
        <v>121</v>
      </c>
      <c r="D83">
        <v>10.4</v>
      </c>
      <c r="E83">
        <f t="shared" si="1"/>
        <v>10.4</v>
      </c>
      <c r="F83" t="s">
        <v>42</v>
      </c>
      <c r="G83" t="s">
        <v>42</v>
      </c>
      <c r="H83" t="s">
        <v>42</v>
      </c>
      <c r="I83" t="s">
        <v>42</v>
      </c>
      <c r="J83" t="s">
        <v>42</v>
      </c>
      <c r="K83" t="s">
        <v>42</v>
      </c>
      <c r="L83" t="s">
        <v>42</v>
      </c>
      <c r="M83" t="s">
        <v>122</v>
      </c>
      <c r="N83" t="s">
        <v>122</v>
      </c>
    </row>
    <row r="84" spans="1:14" x14ac:dyDescent="0.25">
      <c r="A84" t="s">
        <v>24</v>
      </c>
      <c r="B84" s="5" t="s">
        <v>20</v>
      </c>
      <c r="C84" t="s">
        <v>121</v>
      </c>
      <c r="D84">
        <v>11.6</v>
      </c>
      <c r="E84">
        <f t="shared" si="1"/>
        <v>11.6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 t="s">
        <v>42</v>
      </c>
      <c r="L84" t="s">
        <v>42</v>
      </c>
      <c r="M84" t="s">
        <v>122</v>
      </c>
      <c r="N84" t="s">
        <v>122</v>
      </c>
    </row>
    <row r="85" spans="1:14" x14ac:dyDescent="0.25">
      <c r="A85" t="s">
        <v>24</v>
      </c>
      <c r="B85" s="5" t="s">
        <v>20</v>
      </c>
      <c r="C85" t="s">
        <v>121</v>
      </c>
      <c r="D85">
        <v>13</v>
      </c>
      <c r="E85">
        <f t="shared" si="1"/>
        <v>13</v>
      </c>
      <c r="F85" t="s">
        <v>42</v>
      </c>
      <c r="G85" t="s">
        <v>42</v>
      </c>
      <c r="H85" t="s">
        <v>42</v>
      </c>
      <c r="I85" t="s">
        <v>42</v>
      </c>
      <c r="J85" t="s">
        <v>42</v>
      </c>
      <c r="K85" t="s">
        <v>42</v>
      </c>
      <c r="L85" t="s">
        <v>42</v>
      </c>
      <c r="M85" t="s">
        <v>122</v>
      </c>
      <c r="N85" t="s">
        <v>122</v>
      </c>
    </row>
    <row r="86" spans="1:14" x14ac:dyDescent="0.25">
      <c r="A86" t="s">
        <v>24</v>
      </c>
      <c r="B86" s="5" t="s">
        <v>20</v>
      </c>
      <c r="C86" t="s">
        <v>121</v>
      </c>
      <c r="D86">
        <v>8.8000000000000007</v>
      </c>
      <c r="E86">
        <f t="shared" si="1"/>
        <v>8.8000000000000007</v>
      </c>
      <c r="F86" t="s">
        <v>42</v>
      </c>
      <c r="G86" t="s">
        <v>42</v>
      </c>
      <c r="H86" t="s">
        <v>42</v>
      </c>
      <c r="I86" t="s">
        <v>42</v>
      </c>
      <c r="J86" t="s">
        <v>42</v>
      </c>
      <c r="K86" t="s">
        <v>42</v>
      </c>
      <c r="L86" t="s">
        <v>42</v>
      </c>
      <c r="M86" t="s">
        <v>122</v>
      </c>
      <c r="N86" t="s">
        <v>122</v>
      </c>
    </row>
    <row r="87" spans="1:14" x14ac:dyDescent="0.25">
      <c r="A87" t="s">
        <v>24</v>
      </c>
      <c r="B87" s="5" t="s">
        <v>20</v>
      </c>
      <c r="C87" t="s">
        <v>121</v>
      </c>
      <c r="D87">
        <v>30.5</v>
      </c>
      <c r="E87">
        <f t="shared" si="1"/>
        <v>30.5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  <c r="L87" t="s">
        <v>42</v>
      </c>
      <c r="M87" t="s">
        <v>122</v>
      </c>
      <c r="N87" t="s">
        <v>122</v>
      </c>
    </row>
    <row r="88" spans="1:14" x14ac:dyDescent="0.25">
      <c r="A88" t="s">
        <v>24</v>
      </c>
      <c r="B88" s="5" t="s">
        <v>20</v>
      </c>
      <c r="C88" t="s">
        <v>121</v>
      </c>
      <c r="D88">
        <v>31.9</v>
      </c>
      <c r="E88">
        <f t="shared" si="1"/>
        <v>31.9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  <c r="L88" t="s">
        <v>42</v>
      </c>
      <c r="M88" t="s">
        <v>122</v>
      </c>
      <c r="N88" t="s">
        <v>122</v>
      </c>
    </row>
    <row r="89" spans="1:14" x14ac:dyDescent="0.25">
      <c r="A89" t="s">
        <v>24</v>
      </c>
      <c r="B89" s="5" t="s">
        <v>20</v>
      </c>
      <c r="C89" t="s">
        <v>121</v>
      </c>
      <c r="D89">
        <v>24.9</v>
      </c>
      <c r="E89">
        <f t="shared" si="1"/>
        <v>24.9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 t="s">
        <v>42</v>
      </c>
      <c r="L89" t="s">
        <v>42</v>
      </c>
      <c r="M89" t="s">
        <v>122</v>
      </c>
      <c r="N89" t="s">
        <v>122</v>
      </c>
    </row>
    <row r="90" spans="1:14" x14ac:dyDescent="0.25">
      <c r="A90" t="s">
        <v>24</v>
      </c>
      <c r="B90" s="5" t="s">
        <v>20</v>
      </c>
      <c r="C90" t="s">
        <v>121</v>
      </c>
      <c r="D90">
        <v>21.2</v>
      </c>
      <c r="E90">
        <f t="shared" si="1"/>
        <v>21.2</v>
      </c>
      <c r="F90" t="s">
        <v>42</v>
      </c>
      <c r="G90" t="s">
        <v>42</v>
      </c>
      <c r="H90" t="s">
        <v>42</v>
      </c>
      <c r="I90" t="s">
        <v>42</v>
      </c>
      <c r="J90" t="s">
        <v>42</v>
      </c>
      <c r="K90" t="s">
        <v>42</v>
      </c>
      <c r="L90" t="s">
        <v>42</v>
      </c>
      <c r="M90" t="s">
        <v>122</v>
      </c>
      <c r="N90" t="s">
        <v>122</v>
      </c>
    </row>
    <row r="91" spans="1:14" x14ac:dyDescent="0.25">
      <c r="A91" t="s">
        <v>24</v>
      </c>
      <c r="B91" s="5" t="s">
        <v>20</v>
      </c>
      <c r="C91" t="s">
        <v>121</v>
      </c>
      <c r="D91">
        <v>9.6</v>
      </c>
      <c r="E91">
        <f t="shared" si="1"/>
        <v>9.6</v>
      </c>
      <c r="F91" t="s">
        <v>42</v>
      </c>
      <c r="G91" t="s">
        <v>42</v>
      </c>
      <c r="H91" t="s">
        <v>42</v>
      </c>
      <c r="I91" t="s">
        <v>42</v>
      </c>
      <c r="J91" t="s">
        <v>42</v>
      </c>
      <c r="K91" t="s">
        <v>42</v>
      </c>
      <c r="L91" t="s">
        <v>42</v>
      </c>
      <c r="M91" t="s">
        <v>122</v>
      </c>
      <c r="N91" t="s">
        <v>122</v>
      </c>
    </row>
    <row r="92" spans="1:14" x14ac:dyDescent="0.25">
      <c r="A92" t="s">
        <v>24</v>
      </c>
      <c r="B92" s="5" t="s">
        <v>20</v>
      </c>
      <c r="C92" t="s">
        <v>121</v>
      </c>
      <c r="D92">
        <v>11.1</v>
      </c>
      <c r="E92">
        <f t="shared" si="1"/>
        <v>11.1</v>
      </c>
      <c r="F92" t="s">
        <v>42</v>
      </c>
      <c r="G92" t="s">
        <v>42</v>
      </c>
      <c r="H92" t="s">
        <v>42</v>
      </c>
      <c r="I92" t="s">
        <v>42</v>
      </c>
      <c r="J92" t="s">
        <v>42</v>
      </c>
      <c r="K92" t="s">
        <v>42</v>
      </c>
      <c r="L92" t="s">
        <v>42</v>
      </c>
      <c r="M92" t="s">
        <v>122</v>
      </c>
      <c r="N92" t="s">
        <v>122</v>
      </c>
    </row>
    <row r="93" spans="1:14" x14ac:dyDescent="0.25">
      <c r="A93" t="s">
        <v>24</v>
      </c>
      <c r="B93" s="5" t="s">
        <v>20</v>
      </c>
      <c r="C93" t="s">
        <v>121</v>
      </c>
      <c r="D93">
        <v>7.5</v>
      </c>
      <c r="E93">
        <f t="shared" si="1"/>
        <v>7.5</v>
      </c>
      <c r="F93" t="s">
        <v>42</v>
      </c>
      <c r="G93" t="s">
        <v>42</v>
      </c>
      <c r="H93" t="s">
        <v>42</v>
      </c>
      <c r="I93" t="s">
        <v>42</v>
      </c>
      <c r="J93" t="s">
        <v>42</v>
      </c>
      <c r="K93" t="s">
        <v>42</v>
      </c>
      <c r="L93" t="s">
        <v>42</v>
      </c>
      <c r="M93" t="s">
        <v>122</v>
      </c>
      <c r="N93" t="s">
        <v>122</v>
      </c>
    </row>
    <row r="94" spans="1:14" x14ac:dyDescent="0.25">
      <c r="A94" t="s">
        <v>28</v>
      </c>
      <c r="B94" s="5" t="s">
        <v>20</v>
      </c>
      <c r="C94" t="s">
        <v>121</v>
      </c>
      <c r="D94">
        <v>112.3</v>
      </c>
      <c r="E94">
        <f t="shared" si="1"/>
        <v>112.3</v>
      </c>
      <c r="F94" t="s">
        <v>42</v>
      </c>
      <c r="G94" t="s">
        <v>42</v>
      </c>
      <c r="H94" t="s">
        <v>42</v>
      </c>
      <c r="I94" t="s">
        <v>42</v>
      </c>
      <c r="J94" t="s">
        <v>42</v>
      </c>
      <c r="K94" t="s">
        <v>42</v>
      </c>
      <c r="L94" t="s">
        <v>42</v>
      </c>
      <c r="M94" t="s">
        <v>122</v>
      </c>
      <c r="N94" t="s">
        <v>122</v>
      </c>
    </row>
    <row r="95" spans="1:14" x14ac:dyDescent="0.25">
      <c r="A95" t="s">
        <v>28</v>
      </c>
      <c r="B95" s="5" t="s">
        <v>20</v>
      </c>
      <c r="C95" t="s">
        <v>121</v>
      </c>
      <c r="D95">
        <v>8.1</v>
      </c>
      <c r="E95">
        <f t="shared" si="1"/>
        <v>8.1</v>
      </c>
      <c r="F95" t="s">
        <v>42</v>
      </c>
      <c r="G95" t="s">
        <v>42</v>
      </c>
      <c r="H95" t="s">
        <v>42</v>
      </c>
      <c r="I95" t="s">
        <v>42</v>
      </c>
      <c r="J95" t="s">
        <v>42</v>
      </c>
      <c r="K95" t="s">
        <v>42</v>
      </c>
      <c r="L95" t="s">
        <v>42</v>
      </c>
      <c r="M95" t="s">
        <v>122</v>
      </c>
      <c r="N95" t="s">
        <v>122</v>
      </c>
    </row>
    <row r="96" spans="1:14" x14ac:dyDescent="0.25">
      <c r="A96" t="s">
        <v>28</v>
      </c>
      <c r="B96" s="5" t="s">
        <v>20</v>
      </c>
      <c r="C96" t="s">
        <v>121</v>
      </c>
      <c r="D96">
        <v>15.9</v>
      </c>
      <c r="E96">
        <f t="shared" si="1"/>
        <v>15.9</v>
      </c>
      <c r="F96" t="s">
        <v>42</v>
      </c>
      <c r="G96" t="s">
        <v>42</v>
      </c>
      <c r="H96" t="s">
        <v>42</v>
      </c>
      <c r="I96" t="s">
        <v>42</v>
      </c>
      <c r="J96" t="s">
        <v>42</v>
      </c>
      <c r="K96" t="s">
        <v>42</v>
      </c>
      <c r="L96" t="s">
        <v>42</v>
      </c>
      <c r="M96" t="s">
        <v>122</v>
      </c>
      <c r="N96" t="s">
        <v>122</v>
      </c>
    </row>
    <row r="97" spans="1:14" x14ac:dyDescent="0.25">
      <c r="A97" t="s">
        <v>28</v>
      </c>
      <c r="B97" s="5" t="s">
        <v>20</v>
      </c>
      <c r="C97" t="s">
        <v>121</v>
      </c>
      <c r="D97">
        <f>18.6+17.7+11.5</f>
        <v>47.8</v>
      </c>
      <c r="E97">
        <v>18.600000000000001</v>
      </c>
      <c r="F97">
        <v>17.7</v>
      </c>
      <c r="G97">
        <v>11.5</v>
      </c>
      <c r="H97" t="s">
        <v>42</v>
      </c>
      <c r="I97" t="s">
        <v>42</v>
      </c>
      <c r="J97" t="s">
        <v>42</v>
      </c>
      <c r="K97" t="s">
        <v>42</v>
      </c>
      <c r="L97" t="s">
        <v>42</v>
      </c>
      <c r="M97" t="s">
        <v>125</v>
      </c>
      <c r="N97" t="s">
        <v>122</v>
      </c>
    </row>
    <row r="98" spans="1:14" x14ac:dyDescent="0.25">
      <c r="A98" t="s">
        <v>28</v>
      </c>
      <c r="B98" s="5" t="s">
        <v>20</v>
      </c>
      <c r="C98" t="s">
        <v>121</v>
      </c>
      <c r="D98">
        <v>16.100000000000001</v>
      </c>
      <c r="E98">
        <f t="shared" ref="E98:E117" si="2">D98</f>
        <v>16.100000000000001</v>
      </c>
      <c r="F98" t="s">
        <v>42</v>
      </c>
      <c r="G98" t="s">
        <v>42</v>
      </c>
      <c r="H98" t="s">
        <v>42</v>
      </c>
      <c r="I98" t="s">
        <v>42</v>
      </c>
      <c r="J98" t="s">
        <v>42</v>
      </c>
      <c r="K98" t="s">
        <v>42</v>
      </c>
      <c r="L98" t="s">
        <v>42</v>
      </c>
      <c r="M98" t="s">
        <v>122</v>
      </c>
      <c r="N98" t="s">
        <v>122</v>
      </c>
    </row>
    <row r="99" spans="1:14" x14ac:dyDescent="0.25">
      <c r="A99" t="s">
        <v>28</v>
      </c>
      <c r="B99" s="5" t="s">
        <v>20</v>
      </c>
      <c r="C99" t="s">
        <v>121</v>
      </c>
      <c r="D99">
        <v>12.2</v>
      </c>
      <c r="E99">
        <f t="shared" si="2"/>
        <v>12.2</v>
      </c>
      <c r="F99" t="s">
        <v>42</v>
      </c>
      <c r="G99" t="s">
        <v>42</v>
      </c>
      <c r="H99" t="s">
        <v>42</v>
      </c>
      <c r="I99" t="s">
        <v>42</v>
      </c>
      <c r="J99" t="s">
        <v>42</v>
      </c>
      <c r="K99" t="s">
        <v>42</v>
      </c>
      <c r="L99" t="s">
        <v>42</v>
      </c>
      <c r="M99" t="s">
        <v>122</v>
      </c>
      <c r="N99" t="s">
        <v>122</v>
      </c>
    </row>
    <row r="100" spans="1:14" x14ac:dyDescent="0.25">
      <c r="A100" t="s">
        <v>28</v>
      </c>
      <c r="B100" s="5" t="s">
        <v>20</v>
      </c>
      <c r="C100" t="s">
        <v>121</v>
      </c>
      <c r="D100">
        <v>11.6</v>
      </c>
      <c r="E100">
        <f t="shared" si="2"/>
        <v>11.6</v>
      </c>
      <c r="F100" t="s">
        <v>42</v>
      </c>
      <c r="G100" t="s">
        <v>42</v>
      </c>
      <c r="H100" t="s">
        <v>42</v>
      </c>
      <c r="I100" t="s">
        <v>42</v>
      </c>
      <c r="J100" t="s">
        <v>42</v>
      </c>
      <c r="K100" t="s">
        <v>42</v>
      </c>
      <c r="L100" t="s">
        <v>42</v>
      </c>
      <c r="M100" t="s">
        <v>122</v>
      </c>
      <c r="N100" t="s">
        <v>122</v>
      </c>
    </row>
    <row r="101" spans="1:14" x14ac:dyDescent="0.25">
      <c r="A101" t="s">
        <v>28</v>
      </c>
      <c r="B101" s="5" t="s">
        <v>20</v>
      </c>
      <c r="C101" t="s">
        <v>121</v>
      </c>
      <c r="D101">
        <v>15</v>
      </c>
      <c r="E101">
        <f t="shared" si="2"/>
        <v>15</v>
      </c>
      <c r="F101" t="s">
        <v>42</v>
      </c>
      <c r="G101" t="s">
        <v>42</v>
      </c>
      <c r="H101" t="s">
        <v>42</v>
      </c>
      <c r="I101" t="s">
        <v>42</v>
      </c>
      <c r="J101" t="s">
        <v>42</v>
      </c>
      <c r="K101" t="s">
        <v>42</v>
      </c>
      <c r="L101" t="s">
        <v>42</v>
      </c>
      <c r="M101" t="s">
        <v>122</v>
      </c>
      <c r="N101" t="s">
        <v>122</v>
      </c>
    </row>
    <row r="102" spans="1:14" x14ac:dyDescent="0.25">
      <c r="A102" t="s">
        <v>28</v>
      </c>
      <c r="B102" s="5" t="s">
        <v>20</v>
      </c>
      <c r="C102" t="s">
        <v>121</v>
      </c>
      <c r="D102">
        <v>18.5</v>
      </c>
      <c r="E102">
        <f t="shared" si="2"/>
        <v>18.5</v>
      </c>
      <c r="F102" t="s">
        <v>42</v>
      </c>
      <c r="G102" t="s">
        <v>42</v>
      </c>
      <c r="H102" t="s">
        <v>42</v>
      </c>
      <c r="I102" t="s">
        <v>42</v>
      </c>
      <c r="J102" t="s">
        <v>42</v>
      </c>
      <c r="K102" t="s">
        <v>42</v>
      </c>
      <c r="L102" t="s">
        <v>42</v>
      </c>
      <c r="M102" t="s">
        <v>122</v>
      </c>
      <c r="N102" t="s">
        <v>122</v>
      </c>
    </row>
    <row r="103" spans="1:14" x14ac:dyDescent="0.25">
      <c r="A103" t="s">
        <v>28</v>
      </c>
      <c r="B103" s="5" t="s">
        <v>20</v>
      </c>
      <c r="C103" t="s">
        <v>121</v>
      </c>
      <c r="D103">
        <v>21</v>
      </c>
      <c r="E103">
        <f t="shared" si="2"/>
        <v>21</v>
      </c>
      <c r="F103" t="s">
        <v>42</v>
      </c>
      <c r="G103" t="s">
        <v>42</v>
      </c>
      <c r="H103" t="s">
        <v>42</v>
      </c>
      <c r="I103" t="s">
        <v>42</v>
      </c>
      <c r="J103" t="s">
        <v>42</v>
      </c>
      <c r="K103" t="s">
        <v>42</v>
      </c>
      <c r="L103" t="s">
        <v>42</v>
      </c>
      <c r="M103" t="s">
        <v>122</v>
      </c>
      <c r="N103" t="s">
        <v>122</v>
      </c>
    </row>
    <row r="104" spans="1:14" x14ac:dyDescent="0.25">
      <c r="A104" t="s">
        <v>28</v>
      </c>
      <c r="B104" s="5" t="s">
        <v>20</v>
      </c>
      <c r="C104" t="s">
        <v>121</v>
      </c>
      <c r="D104">
        <v>7.6</v>
      </c>
      <c r="E104">
        <f t="shared" si="2"/>
        <v>7.6</v>
      </c>
      <c r="F104" t="s">
        <v>42</v>
      </c>
      <c r="G104" t="s">
        <v>42</v>
      </c>
      <c r="H104" t="s">
        <v>42</v>
      </c>
      <c r="I104" t="s">
        <v>42</v>
      </c>
      <c r="J104" t="s">
        <v>42</v>
      </c>
      <c r="K104" t="s">
        <v>42</v>
      </c>
      <c r="L104" t="s">
        <v>42</v>
      </c>
      <c r="M104" t="s">
        <v>122</v>
      </c>
      <c r="N104" t="s">
        <v>122</v>
      </c>
    </row>
    <row r="105" spans="1:14" x14ac:dyDescent="0.25">
      <c r="A105" t="s">
        <v>28</v>
      </c>
      <c r="B105" s="5" t="s">
        <v>20</v>
      </c>
      <c r="C105" t="s">
        <v>121</v>
      </c>
      <c r="D105">
        <v>17.399999999999999</v>
      </c>
      <c r="E105">
        <f t="shared" si="2"/>
        <v>17.399999999999999</v>
      </c>
      <c r="F105" t="s">
        <v>42</v>
      </c>
      <c r="G105" t="s">
        <v>42</v>
      </c>
      <c r="H105" t="s">
        <v>42</v>
      </c>
      <c r="I105" t="s">
        <v>42</v>
      </c>
      <c r="J105" t="s">
        <v>42</v>
      </c>
      <c r="K105" t="s">
        <v>42</v>
      </c>
      <c r="L105" t="s">
        <v>42</v>
      </c>
      <c r="M105" t="s">
        <v>122</v>
      </c>
      <c r="N105" t="s">
        <v>122</v>
      </c>
    </row>
    <row r="106" spans="1:14" x14ac:dyDescent="0.25">
      <c r="A106" t="s">
        <v>28</v>
      </c>
      <c r="B106" s="5" t="s">
        <v>20</v>
      </c>
      <c r="C106" t="s">
        <v>121</v>
      </c>
      <c r="D106">
        <v>12.5</v>
      </c>
      <c r="E106">
        <f t="shared" si="2"/>
        <v>12.5</v>
      </c>
      <c r="F106" t="s">
        <v>42</v>
      </c>
      <c r="G106" t="s">
        <v>42</v>
      </c>
      <c r="H106" t="s">
        <v>42</v>
      </c>
      <c r="I106" t="s">
        <v>42</v>
      </c>
      <c r="J106" t="s">
        <v>42</v>
      </c>
      <c r="K106" t="s">
        <v>42</v>
      </c>
      <c r="L106" t="s">
        <v>42</v>
      </c>
      <c r="M106" t="s">
        <v>122</v>
      </c>
      <c r="N106" t="s">
        <v>122</v>
      </c>
    </row>
    <row r="107" spans="1:14" x14ac:dyDescent="0.25">
      <c r="A107" t="s">
        <v>28</v>
      </c>
      <c r="B107" s="5" t="s">
        <v>20</v>
      </c>
      <c r="C107" t="s">
        <v>121</v>
      </c>
      <c r="D107">
        <v>17.3</v>
      </c>
      <c r="E107">
        <f t="shared" si="2"/>
        <v>17.3</v>
      </c>
      <c r="F107" t="s">
        <v>42</v>
      </c>
      <c r="G107" t="s">
        <v>42</v>
      </c>
      <c r="H107" t="s">
        <v>42</v>
      </c>
      <c r="I107" t="s">
        <v>42</v>
      </c>
      <c r="J107" t="s">
        <v>42</v>
      </c>
      <c r="K107" t="s">
        <v>42</v>
      </c>
      <c r="L107" t="s">
        <v>42</v>
      </c>
      <c r="M107" t="s">
        <v>122</v>
      </c>
      <c r="N107" t="s">
        <v>122</v>
      </c>
    </row>
    <row r="108" spans="1:14" x14ac:dyDescent="0.25">
      <c r="A108" t="s">
        <v>28</v>
      </c>
      <c r="B108" s="5" t="s">
        <v>20</v>
      </c>
      <c r="C108" t="s">
        <v>121</v>
      </c>
      <c r="D108">
        <v>18.7</v>
      </c>
      <c r="E108">
        <f t="shared" si="2"/>
        <v>18.7</v>
      </c>
      <c r="F108" t="s">
        <v>42</v>
      </c>
      <c r="G108" t="s">
        <v>42</v>
      </c>
      <c r="H108" t="s">
        <v>42</v>
      </c>
      <c r="I108" t="s">
        <v>42</v>
      </c>
      <c r="J108" t="s">
        <v>42</v>
      </c>
      <c r="K108" t="s">
        <v>42</v>
      </c>
      <c r="L108" t="s">
        <v>42</v>
      </c>
      <c r="M108" t="s">
        <v>122</v>
      </c>
      <c r="N108" t="s">
        <v>122</v>
      </c>
    </row>
    <row r="109" spans="1:14" x14ac:dyDescent="0.25">
      <c r="A109" t="s">
        <v>28</v>
      </c>
      <c r="B109" s="5" t="s">
        <v>20</v>
      </c>
      <c r="C109" t="s">
        <v>121</v>
      </c>
      <c r="D109">
        <v>9.6</v>
      </c>
      <c r="E109">
        <f t="shared" si="2"/>
        <v>9.6</v>
      </c>
      <c r="F109" t="s">
        <v>42</v>
      </c>
      <c r="G109" t="s">
        <v>42</v>
      </c>
      <c r="H109" t="s">
        <v>42</v>
      </c>
      <c r="I109" t="s">
        <v>42</v>
      </c>
      <c r="J109" t="s">
        <v>42</v>
      </c>
      <c r="K109" t="s">
        <v>42</v>
      </c>
      <c r="L109" t="s">
        <v>42</v>
      </c>
      <c r="M109" t="s">
        <v>122</v>
      </c>
      <c r="N109" t="s">
        <v>122</v>
      </c>
    </row>
    <row r="110" spans="1:14" x14ac:dyDescent="0.25">
      <c r="A110" t="s">
        <v>28</v>
      </c>
      <c r="B110" s="5" t="s">
        <v>20</v>
      </c>
      <c r="C110" t="s">
        <v>121</v>
      </c>
      <c r="D110">
        <v>28.4</v>
      </c>
      <c r="E110">
        <f t="shared" si="2"/>
        <v>28.4</v>
      </c>
      <c r="F110" t="s">
        <v>42</v>
      </c>
      <c r="G110" t="s">
        <v>42</v>
      </c>
      <c r="H110" t="s">
        <v>42</v>
      </c>
      <c r="I110" t="s">
        <v>42</v>
      </c>
      <c r="J110" t="s">
        <v>42</v>
      </c>
      <c r="K110" t="s">
        <v>42</v>
      </c>
      <c r="L110" t="s">
        <v>42</v>
      </c>
      <c r="M110" t="s">
        <v>122</v>
      </c>
      <c r="N110" t="s">
        <v>122</v>
      </c>
    </row>
    <row r="111" spans="1:14" x14ac:dyDescent="0.25">
      <c r="A111" t="s">
        <v>28</v>
      </c>
      <c r="B111" s="5" t="s">
        <v>20</v>
      </c>
      <c r="C111" t="s">
        <v>121</v>
      </c>
      <c r="D111">
        <v>15.4</v>
      </c>
      <c r="E111">
        <f t="shared" si="2"/>
        <v>15.4</v>
      </c>
      <c r="F111" t="s">
        <v>42</v>
      </c>
      <c r="G111" t="s">
        <v>42</v>
      </c>
      <c r="H111" t="s">
        <v>42</v>
      </c>
      <c r="I111" t="s">
        <v>42</v>
      </c>
      <c r="J111" t="s">
        <v>42</v>
      </c>
      <c r="K111" t="s">
        <v>42</v>
      </c>
      <c r="L111" t="s">
        <v>42</v>
      </c>
      <c r="M111" t="s">
        <v>122</v>
      </c>
      <c r="N111" t="s">
        <v>122</v>
      </c>
    </row>
    <row r="112" spans="1:14" x14ac:dyDescent="0.25">
      <c r="A112" t="s">
        <v>28</v>
      </c>
      <c r="B112" s="5" t="s">
        <v>20</v>
      </c>
      <c r="C112" t="s">
        <v>121</v>
      </c>
      <c r="D112">
        <v>26.7</v>
      </c>
      <c r="E112">
        <f t="shared" si="2"/>
        <v>26.7</v>
      </c>
      <c r="F112" t="s">
        <v>42</v>
      </c>
      <c r="G112" t="s">
        <v>42</v>
      </c>
      <c r="H112" t="s">
        <v>42</v>
      </c>
      <c r="I112" t="s">
        <v>42</v>
      </c>
      <c r="J112" t="s">
        <v>42</v>
      </c>
      <c r="K112" t="s">
        <v>42</v>
      </c>
      <c r="L112" t="s">
        <v>42</v>
      </c>
      <c r="M112" t="s">
        <v>122</v>
      </c>
      <c r="N112" t="s">
        <v>122</v>
      </c>
    </row>
    <row r="113" spans="1:14" x14ac:dyDescent="0.25">
      <c r="A113" t="s">
        <v>28</v>
      </c>
      <c r="B113" s="5" t="s">
        <v>20</v>
      </c>
      <c r="C113" t="s">
        <v>121</v>
      </c>
      <c r="D113">
        <v>33.1</v>
      </c>
      <c r="E113">
        <f t="shared" si="2"/>
        <v>33.1</v>
      </c>
      <c r="F113" t="s">
        <v>42</v>
      </c>
      <c r="G113" t="s">
        <v>42</v>
      </c>
      <c r="H113" t="s">
        <v>42</v>
      </c>
      <c r="I113" t="s">
        <v>42</v>
      </c>
      <c r="J113" t="s">
        <v>42</v>
      </c>
      <c r="K113" t="s">
        <v>42</v>
      </c>
      <c r="L113" t="s">
        <v>42</v>
      </c>
      <c r="M113" t="s">
        <v>122</v>
      </c>
      <c r="N113" t="s">
        <v>122</v>
      </c>
    </row>
    <row r="114" spans="1:14" x14ac:dyDescent="0.25">
      <c r="A114" t="s">
        <v>28</v>
      </c>
      <c r="B114" s="5" t="s">
        <v>20</v>
      </c>
      <c r="C114" t="s">
        <v>121</v>
      </c>
      <c r="D114">
        <v>13.8</v>
      </c>
      <c r="E114">
        <f t="shared" si="2"/>
        <v>13.8</v>
      </c>
      <c r="F114" t="s">
        <v>42</v>
      </c>
      <c r="G114" t="s">
        <v>42</v>
      </c>
      <c r="H114" t="s">
        <v>42</v>
      </c>
      <c r="I114" t="s">
        <v>42</v>
      </c>
      <c r="J114" t="s">
        <v>42</v>
      </c>
      <c r="K114" t="s">
        <v>42</v>
      </c>
      <c r="L114" t="s">
        <v>42</v>
      </c>
      <c r="M114" t="s">
        <v>122</v>
      </c>
      <c r="N114" t="s">
        <v>122</v>
      </c>
    </row>
    <row r="115" spans="1:14" x14ac:dyDescent="0.25">
      <c r="A115" t="s">
        <v>28</v>
      </c>
      <c r="B115" s="5" t="s">
        <v>20</v>
      </c>
      <c r="C115" t="s">
        <v>121</v>
      </c>
      <c r="D115">
        <v>7.9</v>
      </c>
      <c r="E115">
        <f t="shared" si="2"/>
        <v>7.9</v>
      </c>
      <c r="F115" t="s">
        <v>42</v>
      </c>
      <c r="G115" t="s">
        <v>42</v>
      </c>
      <c r="H115" t="s">
        <v>42</v>
      </c>
      <c r="I115" t="s">
        <v>42</v>
      </c>
      <c r="J115" t="s">
        <v>42</v>
      </c>
      <c r="K115" t="s">
        <v>42</v>
      </c>
      <c r="L115" t="s">
        <v>42</v>
      </c>
      <c r="M115" t="s">
        <v>122</v>
      </c>
      <c r="N115" t="s">
        <v>122</v>
      </c>
    </row>
    <row r="116" spans="1:14" x14ac:dyDescent="0.25">
      <c r="A116" t="s">
        <v>28</v>
      </c>
      <c r="B116" s="5" t="s">
        <v>20</v>
      </c>
      <c r="C116" t="s">
        <v>121</v>
      </c>
      <c r="D116">
        <v>15.1</v>
      </c>
      <c r="E116">
        <f t="shared" si="2"/>
        <v>15.1</v>
      </c>
      <c r="F116" t="s">
        <v>42</v>
      </c>
      <c r="G116" t="s">
        <v>42</v>
      </c>
      <c r="H116" t="s">
        <v>42</v>
      </c>
      <c r="I116" t="s">
        <v>42</v>
      </c>
      <c r="J116" t="s">
        <v>42</v>
      </c>
      <c r="K116" t="s">
        <v>42</v>
      </c>
      <c r="L116" t="s">
        <v>42</v>
      </c>
      <c r="M116" t="s">
        <v>122</v>
      </c>
      <c r="N116" t="s">
        <v>122</v>
      </c>
    </row>
    <row r="117" spans="1:14" x14ac:dyDescent="0.25">
      <c r="A117" t="s">
        <v>28</v>
      </c>
      <c r="B117" s="5" t="s">
        <v>20</v>
      </c>
      <c r="C117" t="s">
        <v>121</v>
      </c>
      <c r="D117">
        <v>20.2</v>
      </c>
      <c r="E117">
        <f t="shared" si="2"/>
        <v>20.2</v>
      </c>
      <c r="F117" t="s">
        <v>42</v>
      </c>
      <c r="G117" t="s">
        <v>42</v>
      </c>
      <c r="H117" t="s">
        <v>42</v>
      </c>
      <c r="I117" t="s">
        <v>42</v>
      </c>
      <c r="J117" t="s">
        <v>42</v>
      </c>
      <c r="K117" t="s">
        <v>42</v>
      </c>
      <c r="L117" t="s">
        <v>42</v>
      </c>
      <c r="M117" t="s">
        <v>122</v>
      </c>
      <c r="N117" t="s">
        <v>122</v>
      </c>
    </row>
    <row r="118" spans="1:14" x14ac:dyDescent="0.25">
      <c r="A118" t="s">
        <v>28</v>
      </c>
      <c r="B118" s="5" t="s">
        <v>20</v>
      </c>
      <c r="C118" t="s">
        <v>121</v>
      </c>
      <c r="D118">
        <f>15.7+14.3</f>
        <v>30</v>
      </c>
      <c r="E118">
        <v>15.7</v>
      </c>
      <c r="F118">
        <v>14.3</v>
      </c>
      <c r="G118" t="s">
        <v>42</v>
      </c>
      <c r="H118" t="s">
        <v>42</v>
      </c>
      <c r="I118" t="s">
        <v>42</v>
      </c>
      <c r="J118" t="s">
        <v>42</v>
      </c>
      <c r="K118" t="s">
        <v>42</v>
      </c>
      <c r="L118" t="s">
        <v>42</v>
      </c>
      <c r="M118" t="s">
        <v>124</v>
      </c>
      <c r="N118" t="s">
        <v>122</v>
      </c>
    </row>
    <row r="119" spans="1:14" x14ac:dyDescent="0.25">
      <c r="A119" t="s">
        <v>28</v>
      </c>
      <c r="B119" s="5" t="s">
        <v>20</v>
      </c>
      <c r="C119" t="s">
        <v>121</v>
      </c>
      <c r="D119">
        <v>24.6</v>
      </c>
      <c r="E119">
        <f t="shared" ref="E119:E122" si="3">D119</f>
        <v>24.6</v>
      </c>
      <c r="F119" t="s">
        <v>42</v>
      </c>
      <c r="G119" t="s">
        <v>42</v>
      </c>
      <c r="H119" t="s">
        <v>42</v>
      </c>
      <c r="I119" t="s">
        <v>42</v>
      </c>
      <c r="J119" t="s">
        <v>42</v>
      </c>
      <c r="K119" t="s">
        <v>42</v>
      </c>
      <c r="L119" t="s">
        <v>42</v>
      </c>
      <c r="M119" t="s">
        <v>122</v>
      </c>
      <c r="N119" t="s">
        <v>122</v>
      </c>
    </row>
    <row r="120" spans="1:14" x14ac:dyDescent="0.25">
      <c r="A120" t="s">
        <v>28</v>
      </c>
      <c r="B120" s="5" t="s">
        <v>20</v>
      </c>
      <c r="C120" t="s">
        <v>121</v>
      </c>
      <c r="D120">
        <v>18</v>
      </c>
      <c r="E120">
        <f t="shared" si="3"/>
        <v>18</v>
      </c>
      <c r="F120" t="s">
        <v>42</v>
      </c>
      <c r="G120" t="s">
        <v>42</v>
      </c>
      <c r="H120" t="s">
        <v>42</v>
      </c>
      <c r="I120" t="s">
        <v>42</v>
      </c>
      <c r="J120" t="s">
        <v>42</v>
      </c>
      <c r="K120" t="s">
        <v>42</v>
      </c>
      <c r="L120" t="s">
        <v>42</v>
      </c>
      <c r="M120" t="s">
        <v>122</v>
      </c>
      <c r="N120" t="s">
        <v>122</v>
      </c>
    </row>
    <row r="121" spans="1:14" x14ac:dyDescent="0.25">
      <c r="A121" t="s">
        <v>28</v>
      </c>
      <c r="B121" s="5" t="s">
        <v>20</v>
      </c>
      <c r="C121" t="s">
        <v>121</v>
      </c>
      <c r="D121">
        <v>12.2</v>
      </c>
      <c r="E121">
        <f t="shared" si="3"/>
        <v>12.2</v>
      </c>
      <c r="F121" t="s">
        <v>42</v>
      </c>
      <c r="G121" t="s">
        <v>42</v>
      </c>
      <c r="H121" t="s">
        <v>42</v>
      </c>
      <c r="I121" t="s">
        <v>42</v>
      </c>
      <c r="J121" t="s">
        <v>42</v>
      </c>
      <c r="K121" t="s">
        <v>42</v>
      </c>
      <c r="L121" t="s">
        <v>42</v>
      </c>
      <c r="M121" t="s">
        <v>122</v>
      </c>
      <c r="N121" t="s">
        <v>122</v>
      </c>
    </row>
    <row r="122" spans="1:14" x14ac:dyDescent="0.25">
      <c r="A122" t="s">
        <v>28</v>
      </c>
      <c r="B122" s="5" t="s">
        <v>20</v>
      </c>
      <c r="C122" t="s">
        <v>121</v>
      </c>
      <c r="D122">
        <v>14</v>
      </c>
      <c r="E122">
        <f t="shared" si="3"/>
        <v>14</v>
      </c>
      <c r="F122" t="s">
        <v>42</v>
      </c>
      <c r="G122" t="s">
        <v>42</v>
      </c>
      <c r="H122" t="s">
        <v>42</v>
      </c>
      <c r="I122" t="s">
        <v>42</v>
      </c>
      <c r="J122" t="s">
        <v>42</v>
      </c>
      <c r="K122" t="s">
        <v>42</v>
      </c>
      <c r="L122" t="s">
        <v>42</v>
      </c>
      <c r="M122" t="s">
        <v>122</v>
      </c>
      <c r="N122" t="s">
        <v>122</v>
      </c>
    </row>
    <row r="123" spans="1:14" x14ac:dyDescent="0.25">
      <c r="A123" t="s">
        <v>28</v>
      </c>
      <c r="B123" s="5" t="s">
        <v>20</v>
      </c>
      <c r="C123" t="s">
        <v>121</v>
      </c>
      <c r="D123">
        <f>10.1+11.5</f>
        <v>21.6</v>
      </c>
      <c r="E123">
        <v>10.1</v>
      </c>
      <c r="F123">
        <v>11.5</v>
      </c>
      <c r="G123" t="s">
        <v>42</v>
      </c>
      <c r="H123" t="s">
        <v>42</v>
      </c>
      <c r="I123" t="s">
        <v>42</v>
      </c>
      <c r="J123" t="s">
        <v>42</v>
      </c>
      <c r="K123" t="s">
        <v>42</v>
      </c>
      <c r="L123" t="s">
        <v>42</v>
      </c>
      <c r="M123" t="s">
        <v>124</v>
      </c>
      <c r="N123" t="s">
        <v>122</v>
      </c>
    </row>
    <row r="124" spans="1:14" x14ac:dyDescent="0.25">
      <c r="A124" t="s">
        <v>28</v>
      </c>
      <c r="B124" s="5" t="s">
        <v>20</v>
      </c>
      <c r="C124" t="s">
        <v>121</v>
      </c>
      <c r="D124">
        <v>20</v>
      </c>
      <c r="E124">
        <f t="shared" ref="E124:E139" si="4">D124</f>
        <v>20</v>
      </c>
      <c r="F124" t="s">
        <v>42</v>
      </c>
      <c r="G124" t="s">
        <v>42</v>
      </c>
      <c r="H124" t="s">
        <v>42</v>
      </c>
      <c r="I124" t="s">
        <v>42</v>
      </c>
      <c r="J124" t="s">
        <v>42</v>
      </c>
      <c r="K124" t="s">
        <v>42</v>
      </c>
      <c r="L124" t="s">
        <v>42</v>
      </c>
      <c r="M124" t="s">
        <v>122</v>
      </c>
      <c r="N124" t="s">
        <v>122</v>
      </c>
    </row>
    <row r="125" spans="1:14" x14ac:dyDescent="0.25">
      <c r="A125" t="s">
        <v>28</v>
      </c>
      <c r="B125" s="5" t="s">
        <v>20</v>
      </c>
      <c r="C125" t="s">
        <v>121</v>
      </c>
      <c r="D125">
        <v>11.6</v>
      </c>
      <c r="E125">
        <f t="shared" si="4"/>
        <v>11.6</v>
      </c>
      <c r="F125" t="s">
        <v>42</v>
      </c>
      <c r="G125" t="s">
        <v>42</v>
      </c>
      <c r="H125" t="s">
        <v>42</v>
      </c>
      <c r="I125" t="s">
        <v>42</v>
      </c>
      <c r="J125" t="s">
        <v>42</v>
      </c>
      <c r="K125" t="s">
        <v>42</v>
      </c>
      <c r="L125" t="s">
        <v>42</v>
      </c>
      <c r="M125" t="s">
        <v>122</v>
      </c>
      <c r="N125" t="s">
        <v>122</v>
      </c>
    </row>
    <row r="126" spans="1:14" x14ac:dyDescent="0.25">
      <c r="A126" t="s">
        <v>28</v>
      </c>
      <c r="B126" s="5" t="s">
        <v>20</v>
      </c>
      <c r="C126" t="s">
        <v>121</v>
      </c>
      <c r="D126">
        <v>12.7</v>
      </c>
      <c r="E126">
        <f t="shared" si="4"/>
        <v>12.7</v>
      </c>
      <c r="F126" t="s">
        <v>42</v>
      </c>
      <c r="G126" t="s">
        <v>42</v>
      </c>
      <c r="H126" t="s">
        <v>42</v>
      </c>
      <c r="I126" t="s">
        <v>42</v>
      </c>
      <c r="J126" t="s">
        <v>42</v>
      </c>
      <c r="K126" t="s">
        <v>42</v>
      </c>
      <c r="L126" t="s">
        <v>42</v>
      </c>
      <c r="M126" t="s">
        <v>122</v>
      </c>
      <c r="N126" t="s">
        <v>122</v>
      </c>
    </row>
    <row r="127" spans="1:14" x14ac:dyDescent="0.25">
      <c r="A127" t="s">
        <v>28</v>
      </c>
      <c r="B127" s="5" t="s">
        <v>20</v>
      </c>
      <c r="C127" t="s">
        <v>121</v>
      </c>
      <c r="D127">
        <v>10.1</v>
      </c>
      <c r="E127">
        <f t="shared" si="4"/>
        <v>10.1</v>
      </c>
      <c r="F127" t="s">
        <v>42</v>
      </c>
      <c r="G127" t="s">
        <v>42</v>
      </c>
      <c r="H127" t="s">
        <v>42</v>
      </c>
      <c r="I127" t="s">
        <v>42</v>
      </c>
      <c r="J127" t="s">
        <v>42</v>
      </c>
      <c r="K127" t="s">
        <v>42</v>
      </c>
      <c r="L127" t="s">
        <v>42</v>
      </c>
      <c r="M127" t="s">
        <v>122</v>
      </c>
      <c r="N127" t="s">
        <v>122</v>
      </c>
    </row>
    <row r="128" spans="1:14" x14ac:dyDescent="0.25">
      <c r="A128" t="s">
        <v>28</v>
      </c>
      <c r="B128" s="5" t="s">
        <v>20</v>
      </c>
      <c r="C128" t="s">
        <v>121</v>
      </c>
      <c r="D128">
        <v>9.1</v>
      </c>
      <c r="E128">
        <f t="shared" si="4"/>
        <v>9.1</v>
      </c>
      <c r="F128" t="s">
        <v>42</v>
      </c>
      <c r="G128" t="s">
        <v>42</v>
      </c>
      <c r="H128" t="s">
        <v>42</v>
      </c>
      <c r="I128" t="s">
        <v>42</v>
      </c>
      <c r="J128" t="s">
        <v>42</v>
      </c>
      <c r="K128" t="s">
        <v>42</v>
      </c>
      <c r="L128" t="s">
        <v>42</v>
      </c>
      <c r="M128" t="s">
        <v>122</v>
      </c>
      <c r="N128" t="s">
        <v>122</v>
      </c>
    </row>
    <row r="129" spans="1:14" x14ac:dyDescent="0.25">
      <c r="A129" t="s">
        <v>28</v>
      </c>
      <c r="B129" s="5" t="s">
        <v>20</v>
      </c>
      <c r="C129" t="s">
        <v>121</v>
      </c>
      <c r="D129">
        <v>9</v>
      </c>
      <c r="E129">
        <f t="shared" si="4"/>
        <v>9</v>
      </c>
      <c r="F129" t="s">
        <v>42</v>
      </c>
      <c r="G129" t="s">
        <v>42</v>
      </c>
      <c r="H129" t="s">
        <v>42</v>
      </c>
      <c r="I129" t="s">
        <v>42</v>
      </c>
      <c r="J129" t="s">
        <v>42</v>
      </c>
      <c r="K129" t="s">
        <v>42</v>
      </c>
      <c r="L129" t="s">
        <v>42</v>
      </c>
      <c r="M129" t="s">
        <v>122</v>
      </c>
      <c r="N129" t="s">
        <v>122</v>
      </c>
    </row>
    <row r="130" spans="1:14" x14ac:dyDescent="0.25">
      <c r="A130" s="4" t="s">
        <v>30</v>
      </c>
      <c r="B130" s="5" t="s">
        <v>20</v>
      </c>
      <c r="C130" t="s">
        <v>121</v>
      </c>
      <c r="D130">
        <v>19.600000000000001</v>
      </c>
      <c r="E130">
        <f t="shared" si="4"/>
        <v>19.600000000000001</v>
      </c>
      <c r="F130" t="s">
        <v>42</v>
      </c>
      <c r="G130" t="s">
        <v>42</v>
      </c>
      <c r="H130" t="s">
        <v>42</v>
      </c>
      <c r="I130" t="s">
        <v>42</v>
      </c>
      <c r="J130" t="s">
        <v>42</v>
      </c>
      <c r="K130" t="s">
        <v>42</v>
      </c>
      <c r="L130" t="s">
        <v>42</v>
      </c>
      <c r="M130" t="s">
        <v>122</v>
      </c>
      <c r="N130" t="s">
        <v>122</v>
      </c>
    </row>
    <row r="131" spans="1:14" x14ac:dyDescent="0.25">
      <c r="A131" s="4" t="s">
        <v>30</v>
      </c>
      <c r="B131" s="5" t="s">
        <v>20</v>
      </c>
      <c r="C131" t="s">
        <v>121</v>
      </c>
      <c r="D131">
        <v>11</v>
      </c>
      <c r="E131">
        <f t="shared" si="4"/>
        <v>11</v>
      </c>
      <c r="F131" t="s">
        <v>42</v>
      </c>
      <c r="G131" t="s">
        <v>42</v>
      </c>
      <c r="H131" t="s">
        <v>42</v>
      </c>
      <c r="I131" t="s">
        <v>42</v>
      </c>
      <c r="J131" t="s">
        <v>42</v>
      </c>
      <c r="K131" t="s">
        <v>42</v>
      </c>
      <c r="L131" t="s">
        <v>42</v>
      </c>
      <c r="M131" t="s">
        <v>122</v>
      </c>
      <c r="N131" t="s">
        <v>122</v>
      </c>
    </row>
    <row r="132" spans="1:14" x14ac:dyDescent="0.25">
      <c r="A132" s="4" t="s">
        <v>30</v>
      </c>
      <c r="B132" s="5" t="s">
        <v>20</v>
      </c>
      <c r="C132" t="s">
        <v>121</v>
      </c>
      <c r="D132">
        <v>15.6</v>
      </c>
      <c r="E132">
        <f t="shared" si="4"/>
        <v>15.6</v>
      </c>
      <c r="F132" t="s">
        <v>42</v>
      </c>
      <c r="G132" t="s">
        <v>42</v>
      </c>
      <c r="H132" t="s">
        <v>42</v>
      </c>
      <c r="I132" t="s">
        <v>42</v>
      </c>
      <c r="J132" t="s">
        <v>42</v>
      </c>
      <c r="K132" t="s">
        <v>42</v>
      </c>
      <c r="L132" t="s">
        <v>42</v>
      </c>
      <c r="M132" t="s">
        <v>122</v>
      </c>
      <c r="N132" t="s">
        <v>122</v>
      </c>
    </row>
    <row r="133" spans="1:14" x14ac:dyDescent="0.25">
      <c r="A133" s="4" t="s">
        <v>30</v>
      </c>
      <c r="B133" s="5" t="s">
        <v>20</v>
      </c>
      <c r="C133" t="s">
        <v>121</v>
      </c>
      <c r="D133">
        <v>43.8</v>
      </c>
      <c r="E133">
        <f t="shared" si="4"/>
        <v>43.8</v>
      </c>
      <c r="F133" t="s">
        <v>42</v>
      </c>
      <c r="G133" t="s">
        <v>42</v>
      </c>
      <c r="H133" t="s">
        <v>42</v>
      </c>
      <c r="I133" t="s">
        <v>42</v>
      </c>
      <c r="J133" t="s">
        <v>42</v>
      </c>
      <c r="K133" t="s">
        <v>42</v>
      </c>
      <c r="L133" t="s">
        <v>42</v>
      </c>
      <c r="M133" t="s">
        <v>122</v>
      </c>
      <c r="N133" t="s">
        <v>122</v>
      </c>
    </row>
    <row r="134" spans="1:14" x14ac:dyDescent="0.25">
      <c r="A134" s="4" t="s">
        <v>30</v>
      </c>
      <c r="B134" s="5" t="s">
        <v>20</v>
      </c>
      <c r="C134" t="s">
        <v>121</v>
      </c>
      <c r="D134">
        <v>20.7</v>
      </c>
      <c r="E134">
        <f t="shared" si="4"/>
        <v>20.7</v>
      </c>
      <c r="F134" t="s">
        <v>42</v>
      </c>
      <c r="G134" t="s">
        <v>42</v>
      </c>
      <c r="H134" t="s">
        <v>42</v>
      </c>
      <c r="I134" t="s">
        <v>42</v>
      </c>
      <c r="J134" t="s">
        <v>42</v>
      </c>
      <c r="K134" t="s">
        <v>42</v>
      </c>
      <c r="L134" t="s">
        <v>42</v>
      </c>
      <c r="M134" t="s">
        <v>122</v>
      </c>
      <c r="N134" t="s">
        <v>122</v>
      </c>
    </row>
    <row r="135" spans="1:14" x14ac:dyDescent="0.25">
      <c r="A135" s="4" t="s">
        <v>30</v>
      </c>
      <c r="B135" s="5" t="s">
        <v>20</v>
      </c>
      <c r="C135" t="s">
        <v>121</v>
      </c>
      <c r="D135">
        <v>11.1</v>
      </c>
      <c r="E135">
        <f t="shared" si="4"/>
        <v>11.1</v>
      </c>
      <c r="F135" t="s">
        <v>42</v>
      </c>
      <c r="G135" t="s">
        <v>42</v>
      </c>
      <c r="H135" t="s">
        <v>42</v>
      </c>
      <c r="I135" t="s">
        <v>42</v>
      </c>
      <c r="J135" t="s">
        <v>42</v>
      </c>
      <c r="K135" t="s">
        <v>42</v>
      </c>
      <c r="L135" t="s">
        <v>42</v>
      </c>
      <c r="M135" t="s">
        <v>122</v>
      </c>
      <c r="N135" t="s">
        <v>122</v>
      </c>
    </row>
    <row r="136" spans="1:14" x14ac:dyDescent="0.25">
      <c r="A136" s="4" t="s">
        <v>30</v>
      </c>
      <c r="B136" s="5" t="s">
        <v>20</v>
      </c>
      <c r="C136" t="s">
        <v>42</v>
      </c>
      <c r="D136">
        <v>22</v>
      </c>
      <c r="E136">
        <f t="shared" si="4"/>
        <v>22</v>
      </c>
      <c r="F136" t="s">
        <v>42</v>
      </c>
      <c r="G136" t="s">
        <v>42</v>
      </c>
      <c r="H136" t="s">
        <v>42</v>
      </c>
      <c r="I136" t="s">
        <v>42</v>
      </c>
      <c r="J136" t="s">
        <v>42</v>
      </c>
      <c r="K136" t="s">
        <v>42</v>
      </c>
      <c r="L136" t="s">
        <v>42</v>
      </c>
      <c r="M136" t="s">
        <v>122</v>
      </c>
      <c r="N136" t="s">
        <v>122</v>
      </c>
    </row>
    <row r="137" spans="1:14" x14ac:dyDescent="0.25">
      <c r="A137" s="4" t="s">
        <v>30</v>
      </c>
      <c r="B137" s="5" t="s">
        <v>20</v>
      </c>
      <c r="C137" t="s">
        <v>42</v>
      </c>
      <c r="D137">
        <v>17.100000000000001</v>
      </c>
      <c r="E137">
        <f t="shared" si="4"/>
        <v>17.100000000000001</v>
      </c>
      <c r="F137" t="s">
        <v>42</v>
      </c>
      <c r="G137" t="s">
        <v>42</v>
      </c>
      <c r="H137" t="s">
        <v>42</v>
      </c>
      <c r="I137" t="s">
        <v>42</v>
      </c>
      <c r="J137" t="s">
        <v>42</v>
      </c>
      <c r="K137" t="s">
        <v>42</v>
      </c>
      <c r="L137" t="s">
        <v>42</v>
      </c>
      <c r="M137" t="s">
        <v>122</v>
      </c>
      <c r="N137" t="s">
        <v>122</v>
      </c>
    </row>
    <row r="138" spans="1:14" x14ac:dyDescent="0.25">
      <c r="A138" s="4" t="s">
        <v>30</v>
      </c>
      <c r="B138" s="5" t="s">
        <v>20</v>
      </c>
      <c r="C138" t="s">
        <v>42</v>
      </c>
      <c r="D138">
        <v>22.2</v>
      </c>
      <c r="E138">
        <f t="shared" si="4"/>
        <v>22.2</v>
      </c>
      <c r="F138" t="s">
        <v>42</v>
      </c>
      <c r="G138" t="s">
        <v>42</v>
      </c>
      <c r="H138" t="s">
        <v>42</v>
      </c>
      <c r="I138" t="s">
        <v>42</v>
      </c>
      <c r="J138" t="s">
        <v>42</v>
      </c>
      <c r="K138" t="s">
        <v>42</v>
      </c>
      <c r="L138" t="s">
        <v>42</v>
      </c>
      <c r="M138" t="s">
        <v>122</v>
      </c>
      <c r="N138" t="s">
        <v>122</v>
      </c>
    </row>
    <row r="139" spans="1:14" x14ac:dyDescent="0.25">
      <c r="A139" s="4" t="s">
        <v>30</v>
      </c>
      <c r="B139" s="5" t="s">
        <v>20</v>
      </c>
      <c r="C139" t="s">
        <v>42</v>
      </c>
      <c r="D139">
        <v>19.100000000000001</v>
      </c>
      <c r="E139">
        <f t="shared" si="4"/>
        <v>19.100000000000001</v>
      </c>
      <c r="F139" t="s">
        <v>42</v>
      </c>
      <c r="G139" t="s">
        <v>42</v>
      </c>
      <c r="H139" t="s">
        <v>42</v>
      </c>
      <c r="I139" t="s">
        <v>42</v>
      </c>
      <c r="J139" t="s">
        <v>42</v>
      </c>
      <c r="K139" t="s">
        <v>42</v>
      </c>
      <c r="L139" t="s">
        <v>42</v>
      </c>
      <c r="M139" t="s">
        <v>122</v>
      </c>
      <c r="N139" t="s">
        <v>122</v>
      </c>
    </row>
    <row r="140" spans="1:14" x14ac:dyDescent="0.25">
      <c r="A140" s="4" t="s">
        <v>30</v>
      </c>
      <c r="B140" s="5" t="s">
        <v>20</v>
      </c>
      <c r="C140" t="s">
        <v>121</v>
      </c>
      <c r="D140">
        <f>11.4+11.1</f>
        <v>22.5</v>
      </c>
      <c r="E140">
        <v>11.4</v>
      </c>
      <c r="F140">
        <v>11.1</v>
      </c>
      <c r="G140" t="s">
        <v>42</v>
      </c>
      <c r="H140" t="s">
        <v>42</v>
      </c>
      <c r="I140" t="s">
        <v>42</v>
      </c>
      <c r="J140" t="s">
        <v>42</v>
      </c>
      <c r="K140" t="s">
        <v>42</v>
      </c>
      <c r="L140" t="s">
        <v>42</v>
      </c>
      <c r="M140" t="s">
        <v>124</v>
      </c>
      <c r="N140" t="s">
        <v>122</v>
      </c>
    </row>
    <row r="141" spans="1:14" x14ac:dyDescent="0.25">
      <c r="A141" s="4" t="s">
        <v>30</v>
      </c>
      <c r="B141" s="5" t="s">
        <v>20</v>
      </c>
      <c r="C141" t="s">
        <v>121</v>
      </c>
      <c r="D141">
        <v>17.8</v>
      </c>
      <c r="E141">
        <f>D141</f>
        <v>17.8</v>
      </c>
      <c r="F141" t="s">
        <v>42</v>
      </c>
      <c r="G141" t="s">
        <v>42</v>
      </c>
      <c r="H141" t="s">
        <v>42</v>
      </c>
      <c r="I141" t="s">
        <v>42</v>
      </c>
      <c r="J141" t="s">
        <v>42</v>
      </c>
      <c r="K141" t="s">
        <v>42</v>
      </c>
      <c r="L141" t="s">
        <v>42</v>
      </c>
      <c r="M141" t="s">
        <v>122</v>
      </c>
      <c r="N141" t="s">
        <v>122</v>
      </c>
    </row>
    <row r="142" spans="1:14" x14ac:dyDescent="0.25">
      <c r="A142" s="4" t="s">
        <v>30</v>
      </c>
      <c r="B142" s="5" t="s">
        <v>20</v>
      </c>
      <c r="C142" t="s">
        <v>121</v>
      </c>
      <c r="D142">
        <f>17.4+16.1+14</f>
        <v>47.5</v>
      </c>
      <c r="E142">
        <v>17.399999999999999</v>
      </c>
      <c r="F142">
        <v>16.100000000000001</v>
      </c>
      <c r="G142">
        <v>14</v>
      </c>
      <c r="H142" t="s">
        <v>42</v>
      </c>
      <c r="I142" t="s">
        <v>42</v>
      </c>
      <c r="J142" t="s">
        <v>42</v>
      </c>
      <c r="K142" t="s">
        <v>42</v>
      </c>
      <c r="L142" t="s">
        <v>42</v>
      </c>
      <c r="M142" t="s">
        <v>125</v>
      </c>
      <c r="N142" t="s">
        <v>122</v>
      </c>
    </row>
    <row r="143" spans="1:14" x14ac:dyDescent="0.25">
      <c r="A143" s="4" t="s">
        <v>30</v>
      </c>
      <c r="B143" s="5" t="s">
        <v>20</v>
      </c>
      <c r="C143" t="s">
        <v>121</v>
      </c>
      <c r="D143">
        <v>15.3</v>
      </c>
      <c r="E143">
        <f t="shared" ref="E143:E157" si="5">D143</f>
        <v>15.3</v>
      </c>
      <c r="F143" t="s">
        <v>42</v>
      </c>
      <c r="G143" t="s">
        <v>42</v>
      </c>
      <c r="H143" t="s">
        <v>42</v>
      </c>
      <c r="I143" t="s">
        <v>42</v>
      </c>
      <c r="J143" t="s">
        <v>42</v>
      </c>
      <c r="K143" t="s">
        <v>42</v>
      </c>
      <c r="L143" t="s">
        <v>42</v>
      </c>
      <c r="M143" t="s">
        <v>122</v>
      </c>
      <c r="N143" t="s">
        <v>122</v>
      </c>
    </row>
    <row r="144" spans="1:14" x14ac:dyDescent="0.25">
      <c r="A144" s="4" t="s">
        <v>30</v>
      </c>
      <c r="B144" s="5" t="s">
        <v>20</v>
      </c>
      <c r="C144" t="s">
        <v>121</v>
      </c>
      <c r="D144">
        <v>15.9</v>
      </c>
      <c r="E144">
        <f t="shared" si="5"/>
        <v>15.9</v>
      </c>
      <c r="F144" t="s">
        <v>42</v>
      </c>
      <c r="G144" t="s">
        <v>42</v>
      </c>
      <c r="H144" t="s">
        <v>42</v>
      </c>
      <c r="I144" t="s">
        <v>42</v>
      </c>
      <c r="J144" t="s">
        <v>42</v>
      </c>
      <c r="K144" t="s">
        <v>42</v>
      </c>
      <c r="L144" t="s">
        <v>42</v>
      </c>
      <c r="M144" t="s">
        <v>122</v>
      </c>
      <c r="N144" t="s">
        <v>122</v>
      </c>
    </row>
    <row r="145" spans="1:14" x14ac:dyDescent="0.25">
      <c r="A145" s="4" t="s">
        <v>30</v>
      </c>
      <c r="B145" s="5" t="s">
        <v>20</v>
      </c>
      <c r="C145" t="s">
        <v>121</v>
      </c>
      <c r="D145">
        <v>19.2</v>
      </c>
      <c r="E145">
        <f t="shared" si="5"/>
        <v>19.2</v>
      </c>
      <c r="F145" t="s">
        <v>42</v>
      </c>
      <c r="G145" t="s">
        <v>42</v>
      </c>
      <c r="H145" t="s">
        <v>42</v>
      </c>
      <c r="I145" t="s">
        <v>42</v>
      </c>
      <c r="J145" t="s">
        <v>42</v>
      </c>
      <c r="K145" t="s">
        <v>42</v>
      </c>
      <c r="L145" t="s">
        <v>42</v>
      </c>
      <c r="M145" t="s">
        <v>122</v>
      </c>
      <c r="N145" t="s">
        <v>122</v>
      </c>
    </row>
    <row r="146" spans="1:14" x14ac:dyDescent="0.25">
      <c r="A146" s="4" t="s">
        <v>30</v>
      </c>
      <c r="B146" s="5" t="s">
        <v>20</v>
      </c>
      <c r="C146" t="s">
        <v>121</v>
      </c>
      <c r="D146">
        <v>28.3</v>
      </c>
      <c r="E146">
        <f t="shared" si="5"/>
        <v>28.3</v>
      </c>
      <c r="F146" t="s">
        <v>42</v>
      </c>
      <c r="G146" t="s">
        <v>42</v>
      </c>
      <c r="H146" t="s">
        <v>42</v>
      </c>
      <c r="I146" t="s">
        <v>42</v>
      </c>
      <c r="J146" t="s">
        <v>42</v>
      </c>
      <c r="K146" t="s">
        <v>42</v>
      </c>
      <c r="L146" t="s">
        <v>42</v>
      </c>
      <c r="M146" t="s">
        <v>122</v>
      </c>
      <c r="N146" t="s">
        <v>122</v>
      </c>
    </row>
    <row r="147" spans="1:14" x14ac:dyDescent="0.25">
      <c r="A147" s="4" t="s">
        <v>30</v>
      </c>
      <c r="B147" s="5" t="s">
        <v>20</v>
      </c>
      <c r="C147" t="s">
        <v>121</v>
      </c>
      <c r="D147">
        <v>16.600000000000001</v>
      </c>
      <c r="E147">
        <f t="shared" si="5"/>
        <v>16.600000000000001</v>
      </c>
      <c r="F147" t="s">
        <v>42</v>
      </c>
      <c r="G147" t="s">
        <v>42</v>
      </c>
      <c r="H147" t="s">
        <v>42</v>
      </c>
      <c r="I147" t="s">
        <v>42</v>
      </c>
      <c r="J147" t="s">
        <v>42</v>
      </c>
      <c r="K147" t="s">
        <v>42</v>
      </c>
      <c r="L147" t="s">
        <v>42</v>
      </c>
      <c r="M147" t="s">
        <v>122</v>
      </c>
      <c r="N147" t="s">
        <v>122</v>
      </c>
    </row>
    <row r="148" spans="1:14" x14ac:dyDescent="0.25">
      <c r="A148" s="4" t="s">
        <v>30</v>
      </c>
      <c r="B148" s="5" t="s">
        <v>20</v>
      </c>
      <c r="C148" t="s">
        <v>121</v>
      </c>
      <c r="D148">
        <v>12.8</v>
      </c>
      <c r="E148">
        <f t="shared" si="5"/>
        <v>12.8</v>
      </c>
      <c r="F148" t="s">
        <v>42</v>
      </c>
      <c r="G148" t="s">
        <v>42</v>
      </c>
      <c r="H148" t="s">
        <v>42</v>
      </c>
      <c r="I148" t="s">
        <v>42</v>
      </c>
      <c r="J148" t="s">
        <v>42</v>
      </c>
      <c r="K148" t="s">
        <v>42</v>
      </c>
      <c r="L148" t="s">
        <v>42</v>
      </c>
      <c r="M148" t="s">
        <v>122</v>
      </c>
      <c r="N148" t="s">
        <v>122</v>
      </c>
    </row>
    <row r="149" spans="1:14" x14ac:dyDescent="0.25">
      <c r="A149" s="4" t="s">
        <v>33</v>
      </c>
      <c r="B149" s="5" t="s">
        <v>20</v>
      </c>
      <c r="C149" t="s">
        <v>123</v>
      </c>
      <c r="D149">
        <v>15.1</v>
      </c>
      <c r="E149">
        <f t="shared" si="5"/>
        <v>15.1</v>
      </c>
      <c r="F149" t="s">
        <v>42</v>
      </c>
      <c r="G149" t="s">
        <v>42</v>
      </c>
      <c r="H149" t="s">
        <v>42</v>
      </c>
      <c r="I149" t="s">
        <v>42</v>
      </c>
      <c r="J149" t="s">
        <v>42</v>
      </c>
      <c r="K149" t="s">
        <v>42</v>
      </c>
      <c r="L149" t="s">
        <v>42</v>
      </c>
      <c r="M149" t="s">
        <v>122</v>
      </c>
      <c r="N149" t="s">
        <v>122</v>
      </c>
    </row>
    <row r="150" spans="1:14" x14ac:dyDescent="0.25">
      <c r="A150" s="4" t="s">
        <v>33</v>
      </c>
      <c r="B150" s="5" t="s">
        <v>20</v>
      </c>
      <c r="C150" t="s">
        <v>123</v>
      </c>
      <c r="D150">
        <v>8.6999999999999993</v>
      </c>
      <c r="E150">
        <f t="shared" si="5"/>
        <v>8.6999999999999993</v>
      </c>
      <c r="F150" t="s">
        <v>42</v>
      </c>
      <c r="G150" t="s">
        <v>42</v>
      </c>
      <c r="H150" t="s">
        <v>42</v>
      </c>
      <c r="I150" t="s">
        <v>42</v>
      </c>
      <c r="J150" t="s">
        <v>42</v>
      </c>
      <c r="K150" t="s">
        <v>42</v>
      </c>
      <c r="L150" t="s">
        <v>42</v>
      </c>
      <c r="M150" t="s">
        <v>122</v>
      </c>
      <c r="N150" t="s">
        <v>122</v>
      </c>
    </row>
    <row r="151" spans="1:14" x14ac:dyDescent="0.25">
      <c r="A151" s="4" t="s">
        <v>33</v>
      </c>
      <c r="B151" s="5" t="s">
        <v>20</v>
      </c>
      <c r="C151" t="s">
        <v>123</v>
      </c>
      <c r="D151">
        <v>8.5</v>
      </c>
      <c r="E151">
        <f t="shared" si="5"/>
        <v>8.5</v>
      </c>
      <c r="F151" t="s">
        <v>42</v>
      </c>
      <c r="G151" t="s">
        <v>42</v>
      </c>
      <c r="H151" t="s">
        <v>42</v>
      </c>
      <c r="I151" t="s">
        <v>42</v>
      </c>
      <c r="J151" t="s">
        <v>42</v>
      </c>
      <c r="K151" t="s">
        <v>42</v>
      </c>
      <c r="L151" t="s">
        <v>42</v>
      </c>
      <c r="M151" t="s">
        <v>122</v>
      </c>
      <c r="N151" t="s">
        <v>122</v>
      </c>
    </row>
    <row r="152" spans="1:14" x14ac:dyDescent="0.25">
      <c r="A152" s="4" t="s">
        <v>33</v>
      </c>
      <c r="B152" s="5" t="s">
        <v>20</v>
      </c>
      <c r="C152" t="s">
        <v>123</v>
      </c>
      <c r="D152">
        <v>7.5</v>
      </c>
      <c r="E152">
        <f t="shared" si="5"/>
        <v>7.5</v>
      </c>
      <c r="F152" t="s">
        <v>42</v>
      </c>
      <c r="G152" t="s">
        <v>42</v>
      </c>
      <c r="H152" t="s">
        <v>42</v>
      </c>
      <c r="I152" t="s">
        <v>42</v>
      </c>
      <c r="J152" t="s">
        <v>42</v>
      </c>
      <c r="K152" t="s">
        <v>42</v>
      </c>
      <c r="L152" t="s">
        <v>42</v>
      </c>
      <c r="M152" t="s">
        <v>122</v>
      </c>
      <c r="N152" t="s">
        <v>122</v>
      </c>
    </row>
    <row r="153" spans="1:14" x14ac:dyDescent="0.25">
      <c r="A153" s="4" t="s">
        <v>33</v>
      </c>
      <c r="B153" s="5" t="s">
        <v>20</v>
      </c>
      <c r="C153" t="s">
        <v>121</v>
      </c>
      <c r="D153">
        <v>10.3</v>
      </c>
      <c r="E153">
        <f t="shared" si="5"/>
        <v>10.3</v>
      </c>
      <c r="F153" t="s">
        <v>42</v>
      </c>
      <c r="G153" t="s">
        <v>42</v>
      </c>
      <c r="H153" t="s">
        <v>42</v>
      </c>
      <c r="I153" t="s">
        <v>42</v>
      </c>
      <c r="J153" t="s">
        <v>42</v>
      </c>
      <c r="K153" t="s">
        <v>42</v>
      </c>
      <c r="L153" t="s">
        <v>42</v>
      </c>
      <c r="M153" t="s">
        <v>122</v>
      </c>
      <c r="N153" t="s">
        <v>122</v>
      </c>
    </row>
    <row r="154" spans="1:14" x14ac:dyDescent="0.25">
      <c r="A154" s="4" t="s">
        <v>33</v>
      </c>
      <c r="B154" s="5" t="s">
        <v>20</v>
      </c>
      <c r="C154" t="s">
        <v>121</v>
      </c>
      <c r="D154">
        <v>7.6</v>
      </c>
      <c r="E154">
        <f t="shared" si="5"/>
        <v>7.6</v>
      </c>
      <c r="F154" t="s">
        <v>42</v>
      </c>
      <c r="G154" t="s">
        <v>42</v>
      </c>
      <c r="H154" t="s">
        <v>42</v>
      </c>
      <c r="I154" t="s">
        <v>42</v>
      </c>
      <c r="J154" t="s">
        <v>42</v>
      </c>
      <c r="K154" t="s">
        <v>42</v>
      </c>
      <c r="L154" t="s">
        <v>42</v>
      </c>
      <c r="M154" t="s">
        <v>122</v>
      </c>
      <c r="N154" t="s">
        <v>122</v>
      </c>
    </row>
    <row r="155" spans="1:14" x14ac:dyDescent="0.25">
      <c r="A155" s="4" t="s">
        <v>33</v>
      </c>
      <c r="B155" s="5" t="s">
        <v>20</v>
      </c>
      <c r="C155" t="s">
        <v>121</v>
      </c>
      <c r="D155">
        <v>10.6</v>
      </c>
      <c r="E155">
        <f t="shared" si="5"/>
        <v>10.6</v>
      </c>
      <c r="F155" t="s">
        <v>42</v>
      </c>
      <c r="G155" t="s">
        <v>42</v>
      </c>
      <c r="H155" t="s">
        <v>42</v>
      </c>
      <c r="I155" t="s">
        <v>42</v>
      </c>
      <c r="J155" t="s">
        <v>42</v>
      </c>
      <c r="K155" t="s">
        <v>42</v>
      </c>
      <c r="L155" t="s">
        <v>42</v>
      </c>
      <c r="M155" t="s">
        <v>122</v>
      </c>
      <c r="N155" t="s">
        <v>122</v>
      </c>
    </row>
    <row r="156" spans="1:14" x14ac:dyDescent="0.25">
      <c r="A156" s="4" t="s">
        <v>33</v>
      </c>
      <c r="B156" s="5" t="s">
        <v>20</v>
      </c>
      <c r="C156" t="s">
        <v>121</v>
      </c>
      <c r="D156">
        <v>19.100000000000001</v>
      </c>
      <c r="E156">
        <f t="shared" si="5"/>
        <v>19.100000000000001</v>
      </c>
      <c r="F156" t="s">
        <v>42</v>
      </c>
      <c r="G156" t="s">
        <v>42</v>
      </c>
      <c r="H156" t="s">
        <v>42</v>
      </c>
      <c r="I156" t="s">
        <v>42</v>
      </c>
      <c r="J156" t="s">
        <v>42</v>
      </c>
      <c r="K156" t="s">
        <v>42</v>
      </c>
      <c r="L156" t="s">
        <v>42</v>
      </c>
      <c r="M156" t="s">
        <v>122</v>
      </c>
      <c r="N156" t="s">
        <v>122</v>
      </c>
    </row>
    <row r="157" spans="1:14" x14ac:dyDescent="0.25">
      <c r="A157" s="4" t="s">
        <v>33</v>
      </c>
      <c r="B157" s="5" t="s">
        <v>20</v>
      </c>
      <c r="C157" t="s">
        <v>121</v>
      </c>
      <c r="D157">
        <v>10.5</v>
      </c>
      <c r="E157">
        <f t="shared" si="5"/>
        <v>10.5</v>
      </c>
      <c r="F157" t="s">
        <v>42</v>
      </c>
      <c r="G157" t="s">
        <v>42</v>
      </c>
      <c r="H157" t="s">
        <v>42</v>
      </c>
      <c r="I157" t="s">
        <v>42</v>
      </c>
      <c r="J157" t="s">
        <v>42</v>
      </c>
      <c r="K157" t="s">
        <v>42</v>
      </c>
      <c r="L157" t="s">
        <v>42</v>
      </c>
      <c r="M157" t="s">
        <v>122</v>
      </c>
      <c r="N157" t="s">
        <v>122</v>
      </c>
    </row>
    <row r="158" spans="1:14" x14ac:dyDescent="0.25">
      <c r="A158" s="4" t="s">
        <v>33</v>
      </c>
      <c r="B158" s="5" t="s">
        <v>20</v>
      </c>
      <c r="C158" t="s">
        <v>121</v>
      </c>
      <c r="D158">
        <f>19.2 +14</f>
        <v>33.200000000000003</v>
      </c>
      <c r="E158">
        <v>19.2</v>
      </c>
      <c r="F158">
        <v>14</v>
      </c>
      <c r="G158" t="s">
        <v>42</v>
      </c>
      <c r="H158" t="s">
        <v>42</v>
      </c>
      <c r="I158" t="s">
        <v>42</v>
      </c>
      <c r="J158" t="s">
        <v>42</v>
      </c>
      <c r="K158" t="s">
        <v>42</v>
      </c>
      <c r="L158" t="s">
        <v>42</v>
      </c>
      <c r="M158" t="s">
        <v>126</v>
      </c>
      <c r="N158" t="s">
        <v>122</v>
      </c>
    </row>
    <row r="159" spans="1:14" x14ac:dyDescent="0.25">
      <c r="A159" s="4" t="s">
        <v>33</v>
      </c>
      <c r="B159" s="5" t="s">
        <v>20</v>
      </c>
      <c r="C159" t="s">
        <v>121</v>
      </c>
      <c r="D159">
        <v>21.4</v>
      </c>
      <c r="E159">
        <f t="shared" ref="E159:E182" si="6">D159</f>
        <v>21.4</v>
      </c>
      <c r="F159" t="s">
        <v>42</v>
      </c>
      <c r="G159" t="s">
        <v>42</v>
      </c>
      <c r="H159" t="s">
        <v>42</v>
      </c>
      <c r="I159" t="s">
        <v>42</v>
      </c>
      <c r="J159" t="s">
        <v>42</v>
      </c>
      <c r="K159" t="s">
        <v>42</v>
      </c>
      <c r="L159" t="s">
        <v>42</v>
      </c>
      <c r="M159" t="s">
        <v>122</v>
      </c>
      <c r="N159" t="s">
        <v>122</v>
      </c>
    </row>
    <row r="160" spans="1:14" x14ac:dyDescent="0.25">
      <c r="A160" s="4" t="s">
        <v>33</v>
      </c>
      <c r="B160" s="5" t="s">
        <v>20</v>
      </c>
      <c r="C160" t="s">
        <v>121</v>
      </c>
      <c r="D160">
        <v>11.6</v>
      </c>
      <c r="E160">
        <f t="shared" si="6"/>
        <v>11.6</v>
      </c>
      <c r="F160" t="s">
        <v>42</v>
      </c>
      <c r="G160" t="s">
        <v>42</v>
      </c>
      <c r="H160" t="s">
        <v>42</v>
      </c>
      <c r="I160" t="s">
        <v>42</v>
      </c>
      <c r="J160" t="s">
        <v>42</v>
      </c>
      <c r="K160" t="s">
        <v>42</v>
      </c>
      <c r="L160" t="s">
        <v>42</v>
      </c>
      <c r="M160" t="s">
        <v>122</v>
      </c>
      <c r="N160" t="s">
        <v>122</v>
      </c>
    </row>
    <row r="161" spans="1:14" x14ac:dyDescent="0.25">
      <c r="A161" s="4" t="s">
        <v>33</v>
      </c>
      <c r="B161" s="5" t="s">
        <v>20</v>
      </c>
      <c r="C161" t="s">
        <v>121</v>
      </c>
      <c r="D161">
        <v>27.2</v>
      </c>
      <c r="E161">
        <f t="shared" si="6"/>
        <v>27.2</v>
      </c>
      <c r="F161" t="s">
        <v>42</v>
      </c>
      <c r="G161" t="s">
        <v>42</v>
      </c>
      <c r="H161" t="s">
        <v>42</v>
      </c>
      <c r="I161" t="s">
        <v>42</v>
      </c>
      <c r="J161" t="s">
        <v>42</v>
      </c>
      <c r="K161" t="s">
        <v>42</v>
      </c>
      <c r="L161" t="s">
        <v>42</v>
      </c>
      <c r="M161" t="s">
        <v>122</v>
      </c>
      <c r="N161" t="s">
        <v>122</v>
      </c>
    </row>
    <row r="162" spans="1:14" x14ac:dyDescent="0.25">
      <c r="A162" s="4" t="s">
        <v>33</v>
      </c>
      <c r="B162" s="5" t="s">
        <v>20</v>
      </c>
      <c r="C162" t="s">
        <v>121</v>
      </c>
      <c r="D162">
        <v>28.6</v>
      </c>
      <c r="E162">
        <f t="shared" si="6"/>
        <v>28.6</v>
      </c>
      <c r="F162" t="s">
        <v>42</v>
      </c>
      <c r="G162" t="s">
        <v>42</v>
      </c>
      <c r="H162" t="s">
        <v>42</v>
      </c>
      <c r="I162" t="s">
        <v>42</v>
      </c>
      <c r="J162" t="s">
        <v>42</v>
      </c>
      <c r="K162" t="s">
        <v>42</v>
      </c>
      <c r="L162" t="s">
        <v>42</v>
      </c>
      <c r="M162" t="s">
        <v>122</v>
      </c>
      <c r="N162" t="s">
        <v>122</v>
      </c>
    </row>
    <row r="163" spans="1:14" x14ac:dyDescent="0.25">
      <c r="A163" s="4" t="s">
        <v>33</v>
      </c>
      <c r="B163" s="5" t="s">
        <v>20</v>
      </c>
      <c r="C163" t="s">
        <v>121</v>
      </c>
      <c r="D163">
        <v>17.3</v>
      </c>
      <c r="E163">
        <f t="shared" si="6"/>
        <v>17.3</v>
      </c>
      <c r="F163" t="s">
        <v>42</v>
      </c>
      <c r="G163" t="s">
        <v>42</v>
      </c>
      <c r="H163" t="s">
        <v>42</v>
      </c>
      <c r="I163" t="s">
        <v>42</v>
      </c>
      <c r="J163" t="s">
        <v>42</v>
      </c>
      <c r="K163" t="s">
        <v>42</v>
      </c>
      <c r="L163" t="s">
        <v>42</v>
      </c>
      <c r="M163" t="s">
        <v>122</v>
      </c>
      <c r="N163" t="s">
        <v>122</v>
      </c>
    </row>
    <row r="164" spans="1:14" x14ac:dyDescent="0.25">
      <c r="A164" s="4" t="s">
        <v>33</v>
      </c>
      <c r="B164" s="5" t="s">
        <v>20</v>
      </c>
      <c r="C164" t="s">
        <v>121</v>
      </c>
      <c r="D164">
        <v>10.199999999999999</v>
      </c>
      <c r="E164">
        <f t="shared" si="6"/>
        <v>10.199999999999999</v>
      </c>
      <c r="F164" t="s">
        <v>42</v>
      </c>
      <c r="G164" t="s">
        <v>42</v>
      </c>
      <c r="H164" t="s">
        <v>42</v>
      </c>
      <c r="I164" t="s">
        <v>42</v>
      </c>
      <c r="J164" t="s">
        <v>42</v>
      </c>
      <c r="K164" t="s">
        <v>42</v>
      </c>
      <c r="L164" t="s">
        <v>42</v>
      </c>
      <c r="M164" t="s">
        <v>122</v>
      </c>
      <c r="N164" t="s">
        <v>122</v>
      </c>
    </row>
    <row r="165" spans="1:14" x14ac:dyDescent="0.25">
      <c r="A165" s="4" t="s">
        <v>33</v>
      </c>
      <c r="B165" s="5" t="s">
        <v>20</v>
      </c>
      <c r="C165" t="s">
        <v>121</v>
      </c>
      <c r="D165">
        <v>19.8</v>
      </c>
      <c r="E165">
        <f t="shared" si="6"/>
        <v>19.8</v>
      </c>
      <c r="F165" t="s">
        <v>42</v>
      </c>
      <c r="G165" t="s">
        <v>42</v>
      </c>
      <c r="H165" t="s">
        <v>42</v>
      </c>
      <c r="I165" t="s">
        <v>42</v>
      </c>
      <c r="J165" t="s">
        <v>42</v>
      </c>
      <c r="K165" t="s">
        <v>42</v>
      </c>
      <c r="L165" t="s">
        <v>42</v>
      </c>
      <c r="M165" t="s">
        <v>122</v>
      </c>
      <c r="N165" t="s">
        <v>122</v>
      </c>
    </row>
    <row r="166" spans="1:14" x14ac:dyDescent="0.25">
      <c r="A166" s="4" t="s">
        <v>33</v>
      </c>
      <c r="B166" s="5" t="s">
        <v>20</v>
      </c>
      <c r="C166" t="s">
        <v>121</v>
      </c>
      <c r="D166">
        <v>25.1</v>
      </c>
      <c r="E166">
        <f t="shared" si="6"/>
        <v>25.1</v>
      </c>
      <c r="F166" t="s">
        <v>42</v>
      </c>
      <c r="G166" t="s">
        <v>42</v>
      </c>
      <c r="H166" t="s">
        <v>42</v>
      </c>
      <c r="I166" t="s">
        <v>42</v>
      </c>
      <c r="J166" t="s">
        <v>42</v>
      </c>
      <c r="K166" t="s">
        <v>42</v>
      </c>
      <c r="L166" t="s">
        <v>42</v>
      </c>
      <c r="M166" t="s">
        <v>122</v>
      </c>
      <c r="N166" t="s">
        <v>122</v>
      </c>
    </row>
    <row r="167" spans="1:14" x14ac:dyDescent="0.25">
      <c r="A167" s="4" t="s">
        <v>33</v>
      </c>
      <c r="B167" s="5" t="s">
        <v>20</v>
      </c>
      <c r="C167" t="s">
        <v>121</v>
      </c>
      <c r="D167">
        <v>7.7</v>
      </c>
      <c r="E167">
        <f t="shared" si="6"/>
        <v>7.7</v>
      </c>
      <c r="F167" t="s">
        <v>42</v>
      </c>
      <c r="G167" t="s">
        <v>42</v>
      </c>
      <c r="H167" t="s">
        <v>42</v>
      </c>
      <c r="I167" t="s">
        <v>42</v>
      </c>
      <c r="J167" t="s">
        <v>42</v>
      </c>
      <c r="K167" t="s">
        <v>42</v>
      </c>
      <c r="L167" t="s">
        <v>42</v>
      </c>
      <c r="M167" t="s">
        <v>122</v>
      </c>
      <c r="N167" t="s">
        <v>122</v>
      </c>
    </row>
    <row r="168" spans="1:14" x14ac:dyDescent="0.25">
      <c r="A168" s="4" t="s">
        <v>33</v>
      </c>
      <c r="B168" s="5" t="s">
        <v>20</v>
      </c>
      <c r="C168" t="s">
        <v>121</v>
      </c>
      <c r="D168">
        <v>9.1</v>
      </c>
      <c r="E168">
        <f t="shared" si="6"/>
        <v>9.1</v>
      </c>
      <c r="F168" t="s">
        <v>42</v>
      </c>
      <c r="G168" t="s">
        <v>42</v>
      </c>
      <c r="H168" t="s">
        <v>42</v>
      </c>
      <c r="I168" t="s">
        <v>42</v>
      </c>
      <c r="J168" t="s">
        <v>42</v>
      </c>
      <c r="K168" t="s">
        <v>42</v>
      </c>
      <c r="L168" t="s">
        <v>42</v>
      </c>
      <c r="M168" t="s">
        <v>122</v>
      </c>
      <c r="N168" t="s">
        <v>122</v>
      </c>
    </row>
    <row r="169" spans="1:14" x14ac:dyDescent="0.25">
      <c r="A169" s="4" t="s">
        <v>33</v>
      </c>
      <c r="B169" s="5" t="s">
        <v>20</v>
      </c>
      <c r="C169" t="s">
        <v>121</v>
      </c>
      <c r="D169">
        <v>16.3</v>
      </c>
      <c r="E169">
        <f t="shared" si="6"/>
        <v>16.3</v>
      </c>
      <c r="F169" t="s">
        <v>42</v>
      </c>
      <c r="G169" t="s">
        <v>42</v>
      </c>
      <c r="H169" t="s">
        <v>42</v>
      </c>
      <c r="I169" t="s">
        <v>42</v>
      </c>
      <c r="J169" t="s">
        <v>42</v>
      </c>
      <c r="K169" t="s">
        <v>42</v>
      </c>
      <c r="L169" t="s">
        <v>42</v>
      </c>
      <c r="M169" t="s">
        <v>122</v>
      </c>
      <c r="N169" t="s">
        <v>122</v>
      </c>
    </row>
    <row r="170" spans="1:14" x14ac:dyDescent="0.25">
      <c r="A170" s="4" t="s">
        <v>33</v>
      </c>
      <c r="B170" s="5" t="s">
        <v>20</v>
      </c>
      <c r="C170" t="s">
        <v>121</v>
      </c>
      <c r="D170">
        <v>11.1</v>
      </c>
      <c r="E170">
        <f t="shared" si="6"/>
        <v>11.1</v>
      </c>
      <c r="F170" t="s">
        <v>42</v>
      </c>
      <c r="G170" t="s">
        <v>42</v>
      </c>
      <c r="H170" t="s">
        <v>42</v>
      </c>
      <c r="I170" t="s">
        <v>42</v>
      </c>
      <c r="J170" t="s">
        <v>42</v>
      </c>
      <c r="K170" t="s">
        <v>42</v>
      </c>
      <c r="L170" t="s">
        <v>42</v>
      </c>
      <c r="M170" t="s">
        <v>122</v>
      </c>
      <c r="N170" t="s">
        <v>122</v>
      </c>
    </row>
    <row r="171" spans="1:14" x14ac:dyDescent="0.25">
      <c r="A171" s="4" t="s">
        <v>33</v>
      </c>
      <c r="B171" s="5" t="s">
        <v>20</v>
      </c>
      <c r="C171" t="s">
        <v>121</v>
      </c>
      <c r="D171">
        <v>7.8</v>
      </c>
      <c r="E171">
        <f t="shared" si="6"/>
        <v>7.8</v>
      </c>
      <c r="F171" t="s">
        <v>42</v>
      </c>
      <c r="G171" t="s">
        <v>42</v>
      </c>
      <c r="H171" t="s">
        <v>42</v>
      </c>
      <c r="I171" t="s">
        <v>42</v>
      </c>
      <c r="J171" t="s">
        <v>42</v>
      </c>
      <c r="K171" t="s">
        <v>42</v>
      </c>
      <c r="L171" t="s">
        <v>42</v>
      </c>
      <c r="M171" t="s">
        <v>122</v>
      </c>
      <c r="N171" t="s">
        <v>122</v>
      </c>
    </row>
    <row r="172" spans="1:14" x14ac:dyDescent="0.25">
      <c r="A172" s="4" t="s">
        <v>33</v>
      </c>
      <c r="B172" s="5" t="s">
        <v>20</v>
      </c>
      <c r="C172" t="s">
        <v>121</v>
      </c>
      <c r="D172">
        <v>10.4</v>
      </c>
      <c r="E172">
        <f t="shared" si="6"/>
        <v>10.4</v>
      </c>
      <c r="F172" t="s">
        <v>42</v>
      </c>
      <c r="G172" t="s">
        <v>42</v>
      </c>
      <c r="H172" t="s">
        <v>42</v>
      </c>
      <c r="I172" t="s">
        <v>42</v>
      </c>
      <c r="J172" t="s">
        <v>42</v>
      </c>
      <c r="K172" t="s">
        <v>42</v>
      </c>
      <c r="L172" t="s">
        <v>42</v>
      </c>
      <c r="M172" t="s">
        <v>122</v>
      </c>
      <c r="N172" t="s">
        <v>122</v>
      </c>
    </row>
    <row r="173" spans="1:14" x14ac:dyDescent="0.25">
      <c r="A173" s="4" t="s">
        <v>33</v>
      </c>
      <c r="B173" s="5" t="s">
        <v>20</v>
      </c>
      <c r="C173" t="s">
        <v>121</v>
      </c>
      <c r="D173">
        <v>13.1</v>
      </c>
      <c r="E173">
        <f t="shared" si="6"/>
        <v>13.1</v>
      </c>
      <c r="F173" t="s">
        <v>42</v>
      </c>
      <c r="G173" t="s">
        <v>42</v>
      </c>
      <c r="H173" t="s">
        <v>42</v>
      </c>
      <c r="I173" t="s">
        <v>42</v>
      </c>
      <c r="J173" t="s">
        <v>42</v>
      </c>
      <c r="K173" t="s">
        <v>42</v>
      </c>
      <c r="L173" t="s">
        <v>42</v>
      </c>
      <c r="M173" t="s">
        <v>122</v>
      </c>
      <c r="N173" t="s">
        <v>122</v>
      </c>
    </row>
    <row r="174" spans="1:14" x14ac:dyDescent="0.25">
      <c r="A174" s="4" t="s">
        <v>33</v>
      </c>
      <c r="B174" s="5" t="s">
        <v>20</v>
      </c>
      <c r="C174" t="s">
        <v>121</v>
      </c>
      <c r="D174">
        <v>11.3</v>
      </c>
      <c r="E174">
        <f t="shared" si="6"/>
        <v>11.3</v>
      </c>
      <c r="F174" t="s">
        <v>42</v>
      </c>
      <c r="G174" t="s">
        <v>42</v>
      </c>
      <c r="H174" t="s">
        <v>42</v>
      </c>
      <c r="I174" t="s">
        <v>42</v>
      </c>
      <c r="J174" t="s">
        <v>42</v>
      </c>
      <c r="K174" t="s">
        <v>42</v>
      </c>
      <c r="L174" t="s">
        <v>42</v>
      </c>
      <c r="M174" t="s">
        <v>122</v>
      </c>
      <c r="N174" t="s">
        <v>122</v>
      </c>
    </row>
    <row r="175" spans="1:14" x14ac:dyDescent="0.25">
      <c r="A175" s="4" t="s">
        <v>33</v>
      </c>
      <c r="B175" s="5" t="s">
        <v>20</v>
      </c>
      <c r="C175" t="s">
        <v>121</v>
      </c>
      <c r="D175">
        <v>15</v>
      </c>
      <c r="E175">
        <f t="shared" si="6"/>
        <v>15</v>
      </c>
      <c r="F175" t="s">
        <v>42</v>
      </c>
      <c r="G175" t="s">
        <v>42</v>
      </c>
      <c r="H175" t="s">
        <v>42</v>
      </c>
      <c r="I175" t="s">
        <v>42</v>
      </c>
      <c r="J175" t="s">
        <v>42</v>
      </c>
      <c r="K175" t="s">
        <v>42</v>
      </c>
      <c r="L175" t="s">
        <v>42</v>
      </c>
      <c r="M175" t="s">
        <v>122</v>
      </c>
      <c r="N175" t="s">
        <v>122</v>
      </c>
    </row>
    <row r="176" spans="1:14" x14ac:dyDescent="0.25">
      <c r="A176" s="4" t="s">
        <v>33</v>
      </c>
      <c r="B176" s="5" t="s">
        <v>20</v>
      </c>
      <c r="C176" t="s">
        <v>121</v>
      </c>
      <c r="D176">
        <v>12.2</v>
      </c>
      <c r="E176">
        <f t="shared" si="6"/>
        <v>12.2</v>
      </c>
      <c r="F176" t="s">
        <v>42</v>
      </c>
      <c r="G176" t="s">
        <v>42</v>
      </c>
      <c r="H176" t="s">
        <v>42</v>
      </c>
      <c r="I176" t="s">
        <v>42</v>
      </c>
      <c r="J176" t="s">
        <v>42</v>
      </c>
      <c r="K176" t="s">
        <v>42</v>
      </c>
      <c r="L176" t="s">
        <v>42</v>
      </c>
      <c r="M176" t="s">
        <v>122</v>
      </c>
      <c r="N176" t="s">
        <v>122</v>
      </c>
    </row>
    <row r="177" spans="1:14" x14ac:dyDescent="0.25">
      <c r="A177" s="4" t="s">
        <v>33</v>
      </c>
      <c r="B177" s="5" t="s">
        <v>20</v>
      </c>
      <c r="C177" t="s">
        <v>121</v>
      </c>
      <c r="D177">
        <v>9.3000000000000007</v>
      </c>
      <c r="E177">
        <f t="shared" si="6"/>
        <v>9.3000000000000007</v>
      </c>
      <c r="F177" t="s">
        <v>42</v>
      </c>
      <c r="G177" t="s">
        <v>42</v>
      </c>
      <c r="H177" t="s">
        <v>42</v>
      </c>
      <c r="I177" t="s">
        <v>42</v>
      </c>
      <c r="J177" t="s">
        <v>42</v>
      </c>
      <c r="K177" t="s">
        <v>42</v>
      </c>
      <c r="L177" t="s">
        <v>42</v>
      </c>
      <c r="M177" t="s">
        <v>122</v>
      </c>
      <c r="N177" t="s">
        <v>122</v>
      </c>
    </row>
    <row r="178" spans="1:14" x14ac:dyDescent="0.25">
      <c r="A178" s="4" t="s">
        <v>33</v>
      </c>
      <c r="B178" s="5" t="s">
        <v>20</v>
      </c>
      <c r="C178" t="s">
        <v>121</v>
      </c>
      <c r="D178">
        <v>10</v>
      </c>
      <c r="E178">
        <f t="shared" si="6"/>
        <v>10</v>
      </c>
      <c r="F178" t="s">
        <v>42</v>
      </c>
      <c r="G178" t="s">
        <v>42</v>
      </c>
      <c r="H178" t="s">
        <v>42</v>
      </c>
      <c r="I178" t="s">
        <v>42</v>
      </c>
      <c r="J178" t="s">
        <v>42</v>
      </c>
      <c r="K178" t="s">
        <v>42</v>
      </c>
      <c r="L178" t="s">
        <v>42</v>
      </c>
      <c r="M178" t="s">
        <v>122</v>
      </c>
      <c r="N178" t="s">
        <v>122</v>
      </c>
    </row>
    <row r="179" spans="1:14" x14ac:dyDescent="0.25">
      <c r="A179" s="4" t="s">
        <v>33</v>
      </c>
      <c r="B179" s="5" t="s">
        <v>20</v>
      </c>
      <c r="C179" t="s">
        <v>121</v>
      </c>
      <c r="D179">
        <v>11.4</v>
      </c>
      <c r="E179">
        <f t="shared" si="6"/>
        <v>11.4</v>
      </c>
      <c r="F179" t="s">
        <v>42</v>
      </c>
      <c r="G179" t="s">
        <v>42</v>
      </c>
      <c r="H179" t="s">
        <v>42</v>
      </c>
      <c r="I179" t="s">
        <v>42</v>
      </c>
      <c r="J179" t="s">
        <v>42</v>
      </c>
      <c r="K179" t="s">
        <v>42</v>
      </c>
      <c r="L179" t="s">
        <v>42</v>
      </c>
      <c r="M179" t="s">
        <v>122</v>
      </c>
      <c r="N179" t="s">
        <v>122</v>
      </c>
    </row>
    <row r="180" spans="1:14" x14ac:dyDescent="0.25">
      <c r="A180" s="4" t="s">
        <v>33</v>
      </c>
      <c r="B180" s="5" t="s">
        <v>20</v>
      </c>
      <c r="C180" t="s">
        <v>121</v>
      </c>
      <c r="D180">
        <v>11.4</v>
      </c>
      <c r="E180">
        <f t="shared" si="6"/>
        <v>11.4</v>
      </c>
      <c r="F180" t="s">
        <v>42</v>
      </c>
      <c r="G180" t="s">
        <v>42</v>
      </c>
      <c r="H180" t="s">
        <v>42</v>
      </c>
      <c r="I180" t="s">
        <v>42</v>
      </c>
      <c r="J180" t="s">
        <v>42</v>
      </c>
      <c r="K180" t="s">
        <v>42</v>
      </c>
      <c r="L180" t="s">
        <v>42</v>
      </c>
      <c r="M180" t="s">
        <v>122</v>
      </c>
      <c r="N180" t="s">
        <v>122</v>
      </c>
    </row>
    <row r="181" spans="1:14" x14ac:dyDescent="0.25">
      <c r="A181" s="4" t="s">
        <v>33</v>
      </c>
      <c r="B181" s="5" t="s">
        <v>20</v>
      </c>
      <c r="C181" t="s">
        <v>121</v>
      </c>
      <c r="D181">
        <v>11</v>
      </c>
      <c r="E181">
        <f t="shared" si="6"/>
        <v>11</v>
      </c>
      <c r="F181" t="s">
        <v>42</v>
      </c>
      <c r="G181" t="s">
        <v>42</v>
      </c>
      <c r="H181" t="s">
        <v>42</v>
      </c>
      <c r="I181" t="s">
        <v>42</v>
      </c>
      <c r="J181" t="s">
        <v>42</v>
      </c>
      <c r="K181" t="s">
        <v>42</v>
      </c>
      <c r="L181" t="s">
        <v>42</v>
      </c>
      <c r="M181" t="s">
        <v>122</v>
      </c>
      <c r="N181" t="s">
        <v>122</v>
      </c>
    </row>
    <row r="182" spans="1:14" x14ac:dyDescent="0.25">
      <c r="A182" s="4" t="s">
        <v>33</v>
      </c>
      <c r="B182" s="5" t="s">
        <v>20</v>
      </c>
      <c r="C182" t="s">
        <v>121</v>
      </c>
      <c r="D182">
        <v>11.1</v>
      </c>
      <c r="E182">
        <f t="shared" si="6"/>
        <v>11.1</v>
      </c>
      <c r="F182" t="s">
        <v>42</v>
      </c>
      <c r="G182" t="s">
        <v>42</v>
      </c>
      <c r="H182" t="s">
        <v>42</v>
      </c>
      <c r="I182" t="s">
        <v>42</v>
      </c>
      <c r="J182" t="s">
        <v>42</v>
      </c>
      <c r="K182" t="s">
        <v>42</v>
      </c>
      <c r="L182" t="s">
        <v>42</v>
      </c>
      <c r="M182" t="s">
        <v>122</v>
      </c>
      <c r="N182" t="s">
        <v>122</v>
      </c>
    </row>
    <row r="183" spans="1:14" x14ac:dyDescent="0.25">
      <c r="A183" s="4" t="s">
        <v>33</v>
      </c>
      <c r="B183" s="5" t="s">
        <v>20</v>
      </c>
      <c r="C183" t="s">
        <v>121</v>
      </c>
      <c r="D183">
        <f>15+19.4+8.5</f>
        <v>42.9</v>
      </c>
      <c r="E183">
        <v>15</v>
      </c>
      <c r="F183">
        <v>19.399999999999999</v>
      </c>
      <c r="G183">
        <v>8.5</v>
      </c>
      <c r="H183" t="s">
        <v>42</v>
      </c>
      <c r="I183" t="s">
        <v>42</v>
      </c>
      <c r="J183" t="s">
        <v>42</v>
      </c>
      <c r="K183" t="s">
        <v>42</v>
      </c>
      <c r="L183" t="s">
        <v>42</v>
      </c>
      <c r="M183" t="s">
        <v>125</v>
      </c>
      <c r="N183" t="s">
        <v>122</v>
      </c>
    </row>
    <row r="184" spans="1:14" x14ac:dyDescent="0.25">
      <c r="A184" s="4" t="s">
        <v>33</v>
      </c>
      <c r="B184" s="5" t="s">
        <v>20</v>
      </c>
      <c r="C184" t="s">
        <v>121</v>
      </c>
      <c r="D184">
        <v>14.4</v>
      </c>
      <c r="E184">
        <f t="shared" ref="E184:E191" si="7">D184</f>
        <v>14.4</v>
      </c>
      <c r="F184" t="s">
        <v>42</v>
      </c>
      <c r="G184" t="s">
        <v>42</v>
      </c>
      <c r="H184" t="s">
        <v>42</v>
      </c>
      <c r="I184" t="s">
        <v>42</v>
      </c>
      <c r="J184" t="s">
        <v>42</v>
      </c>
      <c r="K184" t="s">
        <v>42</v>
      </c>
      <c r="L184" t="s">
        <v>42</v>
      </c>
      <c r="M184" t="s">
        <v>42</v>
      </c>
      <c r="N184" t="s">
        <v>122</v>
      </c>
    </row>
    <row r="185" spans="1:14" x14ac:dyDescent="0.25">
      <c r="A185" s="4" t="s">
        <v>33</v>
      </c>
      <c r="B185" s="5" t="s">
        <v>20</v>
      </c>
      <c r="C185" t="s">
        <v>121</v>
      </c>
      <c r="D185">
        <v>17.5</v>
      </c>
      <c r="E185">
        <f t="shared" si="7"/>
        <v>17.5</v>
      </c>
      <c r="F185" t="s">
        <v>42</v>
      </c>
      <c r="G185" t="s">
        <v>42</v>
      </c>
      <c r="H185" t="s">
        <v>42</v>
      </c>
      <c r="I185" t="s">
        <v>42</v>
      </c>
      <c r="J185" t="s">
        <v>42</v>
      </c>
      <c r="K185" t="s">
        <v>42</v>
      </c>
      <c r="L185" t="s">
        <v>42</v>
      </c>
      <c r="M185" t="s">
        <v>42</v>
      </c>
      <c r="N185" t="s">
        <v>122</v>
      </c>
    </row>
    <row r="186" spans="1:14" x14ac:dyDescent="0.25">
      <c r="A186" s="4" t="s">
        <v>33</v>
      </c>
      <c r="B186" s="5" t="s">
        <v>20</v>
      </c>
      <c r="C186" t="s">
        <v>121</v>
      </c>
      <c r="D186">
        <v>15.6</v>
      </c>
      <c r="E186">
        <f t="shared" si="7"/>
        <v>15.6</v>
      </c>
      <c r="F186" t="s">
        <v>42</v>
      </c>
      <c r="G186" t="s">
        <v>42</v>
      </c>
      <c r="H186" t="s">
        <v>42</v>
      </c>
      <c r="I186" t="s">
        <v>42</v>
      </c>
      <c r="J186" t="s">
        <v>42</v>
      </c>
      <c r="K186" t="s">
        <v>42</v>
      </c>
      <c r="L186" t="s">
        <v>42</v>
      </c>
      <c r="M186" t="s">
        <v>42</v>
      </c>
      <c r="N186" t="s">
        <v>122</v>
      </c>
    </row>
    <row r="187" spans="1:14" x14ac:dyDescent="0.25">
      <c r="A187" s="4" t="s">
        <v>33</v>
      </c>
      <c r="B187" s="5" t="s">
        <v>20</v>
      </c>
      <c r="C187" t="s">
        <v>121</v>
      </c>
      <c r="D187">
        <v>16.399999999999999</v>
      </c>
      <c r="E187">
        <f t="shared" si="7"/>
        <v>16.399999999999999</v>
      </c>
      <c r="F187" t="s">
        <v>42</v>
      </c>
      <c r="G187" t="s">
        <v>42</v>
      </c>
      <c r="H187" t="s">
        <v>42</v>
      </c>
      <c r="I187" t="s">
        <v>42</v>
      </c>
      <c r="J187" t="s">
        <v>42</v>
      </c>
      <c r="K187" t="s">
        <v>42</v>
      </c>
      <c r="L187" t="s">
        <v>42</v>
      </c>
      <c r="M187" t="s">
        <v>42</v>
      </c>
      <c r="N187" t="s">
        <v>122</v>
      </c>
    </row>
    <row r="188" spans="1:14" x14ac:dyDescent="0.25">
      <c r="A188" s="4" t="s">
        <v>33</v>
      </c>
      <c r="B188" s="5" t="s">
        <v>20</v>
      </c>
      <c r="C188" t="s">
        <v>121</v>
      </c>
      <c r="D188">
        <v>8</v>
      </c>
      <c r="E188">
        <f t="shared" si="7"/>
        <v>8</v>
      </c>
      <c r="F188" t="s">
        <v>42</v>
      </c>
      <c r="G188" t="s">
        <v>42</v>
      </c>
      <c r="H188" t="s">
        <v>42</v>
      </c>
      <c r="I188" t="s">
        <v>42</v>
      </c>
      <c r="J188" t="s">
        <v>42</v>
      </c>
      <c r="K188" t="s">
        <v>42</v>
      </c>
      <c r="L188" t="s">
        <v>42</v>
      </c>
      <c r="M188" t="s">
        <v>42</v>
      </c>
      <c r="N188" t="s">
        <v>122</v>
      </c>
    </row>
    <row r="189" spans="1:14" x14ac:dyDescent="0.25">
      <c r="A189" s="4" t="s">
        <v>33</v>
      </c>
      <c r="B189" s="5" t="s">
        <v>20</v>
      </c>
      <c r="C189" t="s">
        <v>121</v>
      </c>
      <c r="D189">
        <v>11.5</v>
      </c>
      <c r="E189">
        <f t="shared" si="7"/>
        <v>11.5</v>
      </c>
      <c r="F189" t="s">
        <v>42</v>
      </c>
      <c r="G189" t="s">
        <v>42</v>
      </c>
      <c r="H189" t="s">
        <v>42</v>
      </c>
      <c r="I189" t="s">
        <v>42</v>
      </c>
      <c r="J189" t="s">
        <v>42</v>
      </c>
      <c r="K189" t="s">
        <v>42</v>
      </c>
      <c r="L189" t="s">
        <v>42</v>
      </c>
      <c r="M189" t="s">
        <v>42</v>
      </c>
      <c r="N189" t="s">
        <v>122</v>
      </c>
    </row>
    <row r="190" spans="1:14" x14ac:dyDescent="0.25">
      <c r="A190" s="4" t="s">
        <v>33</v>
      </c>
      <c r="B190" s="5" t="s">
        <v>20</v>
      </c>
      <c r="C190" t="s">
        <v>121</v>
      </c>
      <c r="D190">
        <v>12</v>
      </c>
      <c r="E190">
        <f t="shared" si="7"/>
        <v>12</v>
      </c>
      <c r="F190" t="s">
        <v>42</v>
      </c>
      <c r="G190" t="s">
        <v>42</v>
      </c>
      <c r="H190" t="s">
        <v>42</v>
      </c>
      <c r="I190" t="s">
        <v>42</v>
      </c>
      <c r="J190" t="s">
        <v>42</v>
      </c>
      <c r="K190" t="s">
        <v>42</v>
      </c>
      <c r="L190" t="s">
        <v>42</v>
      </c>
      <c r="M190" t="s">
        <v>42</v>
      </c>
      <c r="N190" t="s">
        <v>122</v>
      </c>
    </row>
    <row r="191" spans="1:14" x14ac:dyDescent="0.25">
      <c r="A191" s="4" t="s">
        <v>33</v>
      </c>
      <c r="B191" s="5" t="s">
        <v>20</v>
      </c>
      <c r="C191" t="s">
        <v>121</v>
      </c>
      <c r="D191">
        <v>45.2</v>
      </c>
      <c r="E191">
        <f t="shared" si="7"/>
        <v>45.2</v>
      </c>
      <c r="F191" t="s">
        <v>42</v>
      </c>
      <c r="G191" t="s">
        <v>42</v>
      </c>
      <c r="H191" t="s">
        <v>42</v>
      </c>
      <c r="I191" t="s">
        <v>42</v>
      </c>
      <c r="J191" t="s">
        <v>42</v>
      </c>
      <c r="K191" t="s">
        <v>42</v>
      </c>
      <c r="L191" t="s">
        <v>42</v>
      </c>
      <c r="M191" t="s">
        <v>42</v>
      </c>
      <c r="N191" t="s">
        <v>122</v>
      </c>
    </row>
    <row r="192" spans="1:14" x14ac:dyDescent="0.25">
      <c r="A192" s="4" t="s">
        <v>33</v>
      </c>
      <c r="B192" s="5" t="s">
        <v>20</v>
      </c>
      <c r="C192" t="s">
        <v>121</v>
      </c>
      <c r="D192">
        <f>24.7+20.2</f>
        <v>44.9</v>
      </c>
      <c r="E192">
        <v>24.7</v>
      </c>
      <c r="F192">
        <v>20.2</v>
      </c>
      <c r="G192" t="s">
        <v>42</v>
      </c>
      <c r="H192" t="s">
        <v>42</v>
      </c>
      <c r="I192" t="s">
        <v>42</v>
      </c>
      <c r="J192" t="s">
        <v>42</v>
      </c>
      <c r="K192" t="s">
        <v>42</v>
      </c>
      <c r="L192" t="s">
        <v>42</v>
      </c>
      <c r="M192" t="s">
        <v>124</v>
      </c>
      <c r="N192" t="s">
        <v>122</v>
      </c>
    </row>
    <row r="193" spans="1:14" x14ac:dyDescent="0.25">
      <c r="A193" s="4" t="s">
        <v>33</v>
      </c>
      <c r="B193" s="5" t="s">
        <v>20</v>
      </c>
      <c r="C193" t="s">
        <v>121</v>
      </c>
      <c r="D193">
        <v>22.2</v>
      </c>
      <c r="E193">
        <f t="shared" ref="E193:E256" si="8">D193</f>
        <v>22.2</v>
      </c>
      <c r="F193" t="s">
        <v>42</v>
      </c>
      <c r="G193" t="s">
        <v>42</v>
      </c>
      <c r="H193" t="s">
        <v>42</v>
      </c>
      <c r="I193" t="s">
        <v>42</v>
      </c>
      <c r="J193" t="s">
        <v>42</v>
      </c>
      <c r="K193" t="s">
        <v>42</v>
      </c>
      <c r="L193" t="s">
        <v>42</v>
      </c>
      <c r="M193" t="s">
        <v>42</v>
      </c>
      <c r="N193" t="s">
        <v>122</v>
      </c>
    </row>
    <row r="194" spans="1:14" x14ac:dyDescent="0.25">
      <c r="A194" t="s">
        <v>35</v>
      </c>
      <c r="B194" s="5" t="s">
        <v>20</v>
      </c>
      <c r="C194" t="s">
        <v>121</v>
      </c>
      <c r="D194">
        <v>18.3</v>
      </c>
      <c r="E194">
        <f t="shared" si="8"/>
        <v>18.3</v>
      </c>
      <c r="F194" t="s">
        <v>42</v>
      </c>
      <c r="G194" t="s">
        <v>42</v>
      </c>
      <c r="H194" t="s">
        <v>42</v>
      </c>
      <c r="I194" t="s">
        <v>42</v>
      </c>
      <c r="J194" t="s">
        <v>42</v>
      </c>
      <c r="K194" t="s">
        <v>42</v>
      </c>
      <c r="L194" t="s">
        <v>42</v>
      </c>
      <c r="M194" t="s">
        <v>42</v>
      </c>
      <c r="N194" t="s">
        <v>122</v>
      </c>
    </row>
    <row r="195" spans="1:14" x14ac:dyDescent="0.25">
      <c r="A195" t="s">
        <v>35</v>
      </c>
      <c r="B195" s="5" t="s">
        <v>20</v>
      </c>
      <c r="C195" t="s">
        <v>121</v>
      </c>
      <c r="D195">
        <v>23.6</v>
      </c>
      <c r="E195">
        <f t="shared" si="8"/>
        <v>23.6</v>
      </c>
      <c r="F195" t="s">
        <v>42</v>
      </c>
      <c r="G195" t="s">
        <v>42</v>
      </c>
      <c r="H195" t="s">
        <v>42</v>
      </c>
      <c r="I195" t="s">
        <v>42</v>
      </c>
      <c r="J195" t="s">
        <v>42</v>
      </c>
      <c r="K195" t="s">
        <v>42</v>
      </c>
      <c r="L195" t="s">
        <v>42</v>
      </c>
      <c r="M195" t="s">
        <v>42</v>
      </c>
      <c r="N195" t="s">
        <v>122</v>
      </c>
    </row>
    <row r="196" spans="1:14" x14ac:dyDescent="0.25">
      <c r="A196" t="s">
        <v>35</v>
      </c>
      <c r="B196" s="5" t="s">
        <v>20</v>
      </c>
      <c r="C196" t="s">
        <v>121</v>
      </c>
      <c r="D196">
        <v>9.4</v>
      </c>
      <c r="E196">
        <f t="shared" si="8"/>
        <v>9.4</v>
      </c>
      <c r="F196" t="s">
        <v>42</v>
      </c>
      <c r="G196" t="s">
        <v>42</v>
      </c>
      <c r="H196" t="s">
        <v>42</v>
      </c>
      <c r="I196" t="s">
        <v>42</v>
      </c>
      <c r="J196" t="s">
        <v>42</v>
      </c>
      <c r="K196" t="s">
        <v>42</v>
      </c>
      <c r="L196" t="s">
        <v>42</v>
      </c>
      <c r="M196" t="s">
        <v>42</v>
      </c>
      <c r="N196" t="s">
        <v>122</v>
      </c>
    </row>
    <row r="197" spans="1:14" x14ac:dyDescent="0.25">
      <c r="A197" t="s">
        <v>35</v>
      </c>
      <c r="B197" s="5" t="s">
        <v>20</v>
      </c>
      <c r="C197" t="s">
        <v>121</v>
      </c>
      <c r="D197">
        <v>10.8</v>
      </c>
      <c r="E197">
        <f t="shared" si="8"/>
        <v>10.8</v>
      </c>
      <c r="F197" t="s">
        <v>42</v>
      </c>
      <c r="G197" t="s">
        <v>42</v>
      </c>
      <c r="H197" t="s">
        <v>42</v>
      </c>
      <c r="I197" t="s">
        <v>42</v>
      </c>
      <c r="J197" t="s">
        <v>42</v>
      </c>
      <c r="K197" t="s">
        <v>42</v>
      </c>
      <c r="L197" t="s">
        <v>42</v>
      </c>
      <c r="M197" t="s">
        <v>42</v>
      </c>
      <c r="N197" t="s">
        <v>122</v>
      </c>
    </row>
    <row r="198" spans="1:14" x14ac:dyDescent="0.25">
      <c r="A198" t="s">
        <v>35</v>
      </c>
      <c r="B198" s="5" t="s">
        <v>20</v>
      </c>
      <c r="C198" t="s">
        <v>121</v>
      </c>
      <c r="D198">
        <v>10.9</v>
      </c>
      <c r="E198">
        <f t="shared" si="8"/>
        <v>10.9</v>
      </c>
      <c r="F198" t="s">
        <v>42</v>
      </c>
      <c r="G198" t="s">
        <v>42</v>
      </c>
      <c r="H198" t="s">
        <v>42</v>
      </c>
      <c r="I198" t="s">
        <v>42</v>
      </c>
      <c r="J198" t="s">
        <v>42</v>
      </c>
      <c r="K198" t="s">
        <v>42</v>
      </c>
      <c r="L198" t="s">
        <v>42</v>
      </c>
      <c r="M198" t="s">
        <v>42</v>
      </c>
      <c r="N198" t="s">
        <v>122</v>
      </c>
    </row>
    <row r="199" spans="1:14" x14ac:dyDescent="0.25">
      <c r="A199" t="s">
        <v>35</v>
      </c>
      <c r="B199" s="5" t="s">
        <v>20</v>
      </c>
      <c r="C199" t="s">
        <v>121</v>
      </c>
      <c r="D199">
        <v>19</v>
      </c>
      <c r="E199">
        <f t="shared" si="8"/>
        <v>19</v>
      </c>
      <c r="F199" t="s">
        <v>42</v>
      </c>
      <c r="G199" t="s">
        <v>42</v>
      </c>
      <c r="H199" t="s">
        <v>42</v>
      </c>
      <c r="I199" t="s">
        <v>42</v>
      </c>
      <c r="J199" t="s">
        <v>42</v>
      </c>
      <c r="K199" t="s">
        <v>42</v>
      </c>
      <c r="L199" t="s">
        <v>42</v>
      </c>
      <c r="M199" t="s">
        <v>42</v>
      </c>
      <c r="N199" t="s">
        <v>122</v>
      </c>
    </row>
    <row r="200" spans="1:14" x14ac:dyDescent="0.25">
      <c r="A200" t="s">
        <v>35</v>
      </c>
      <c r="B200" s="5" t="s">
        <v>20</v>
      </c>
      <c r="C200" t="s">
        <v>121</v>
      </c>
      <c r="D200">
        <v>22.2</v>
      </c>
      <c r="E200">
        <f t="shared" si="8"/>
        <v>22.2</v>
      </c>
      <c r="F200" t="s">
        <v>42</v>
      </c>
      <c r="G200" t="s">
        <v>42</v>
      </c>
      <c r="H200" t="s">
        <v>42</v>
      </c>
      <c r="I200" t="s">
        <v>42</v>
      </c>
      <c r="J200" t="s">
        <v>42</v>
      </c>
      <c r="K200" t="s">
        <v>42</v>
      </c>
      <c r="L200" t="s">
        <v>42</v>
      </c>
      <c r="M200" t="s">
        <v>42</v>
      </c>
      <c r="N200" t="s">
        <v>122</v>
      </c>
    </row>
    <row r="201" spans="1:14" x14ac:dyDescent="0.25">
      <c r="A201" t="s">
        <v>35</v>
      </c>
      <c r="B201" s="5" t="s">
        <v>20</v>
      </c>
      <c r="C201" t="s">
        <v>121</v>
      </c>
      <c r="D201">
        <v>17.5</v>
      </c>
      <c r="E201">
        <f t="shared" si="8"/>
        <v>17.5</v>
      </c>
      <c r="F201" t="s">
        <v>42</v>
      </c>
      <c r="G201" t="s">
        <v>42</v>
      </c>
      <c r="H201" t="s">
        <v>42</v>
      </c>
      <c r="I201" t="s">
        <v>42</v>
      </c>
      <c r="J201" t="s">
        <v>42</v>
      </c>
      <c r="K201" t="s">
        <v>42</v>
      </c>
      <c r="L201" t="s">
        <v>42</v>
      </c>
      <c r="M201" t="s">
        <v>42</v>
      </c>
      <c r="N201" t="s">
        <v>122</v>
      </c>
    </row>
    <row r="202" spans="1:14" x14ac:dyDescent="0.25">
      <c r="A202" t="s">
        <v>35</v>
      </c>
      <c r="B202" s="5" t="s">
        <v>20</v>
      </c>
      <c r="C202" t="s">
        <v>121</v>
      </c>
      <c r="D202">
        <v>16.3</v>
      </c>
      <c r="E202">
        <f t="shared" si="8"/>
        <v>16.3</v>
      </c>
      <c r="F202" t="s">
        <v>42</v>
      </c>
      <c r="G202" t="s">
        <v>42</v>
      </c>
      <c r="H202" t="s">
        <v>42</v>
      </c>
      <c r="I202" t="s">
        <v>42</v>
      </c>
      <c r="J202" t="s">
        <v>42</v>
      </c>
      <c r="K202" t="s">
        <v>42</v>
      </c>
      <c r="L202" t="s">
        <v>42</v>
      </c>
      <c r="M202" t="s">
        <v>42</v>
      </c>
      <c r="N202" t="s">
        <v>122</v>
      </c>
    </row>
    <row r="203" spans="1:14" x14ac:dyDescent="0.25">
      <c r="A203" t="s">
        <v>35</v>
      </c>
      <c r="B203" s="5" t="s">
        <v>20</v>
      </c>
      <c r="C203" t="s">
        <v>121</v>
      </c>
      <c r="D203">
        <v>9</v>
      </c>
      <c r="E203">
        <f t="shared" si="8"/>
        <v>9</v>
      </c>
      <c r="F203" t="s">
        <v>42</v>
      </c>
      <c r="G203" t="s">
        <v>42</v>
      </c>
      <c r="H203" t="s">
        <v>42</v>
      </c>
      <c r="I203" t="s">
        <v>42</v>
      </c>
      <c r="J203" t="s">
        <v>42</v>
      </c>
      <c r="K203" t="s">
        <v>42</v>
      </c>
      <c r="L203" t="s">
        <v>42</v>
      </c>
      <c r="M203" t="s">
        <v>42</v>
      </c>
      <c r="N203" t="s">
        <v>122</v>
      </c>
    </row>
    <row r="204" spans="1:14" x14ac:dyDescent="0.25">
      <c r="A204" t="s">
        <v>35</v>
      </c>
      <c r="B204" s="5" t="s">
        <v>20</v>
      </c>
      <c r="C204" t="s">
        <v>121</v>
      </c>
      <c r="D204">
        <v>22.8</v>
      </c>
      <c r="E204">
        <f t="shared" si="8"/>
        <v>22.8</v>
      </c>
      <c r="F204" t="s">
        <v>42</v>
      </c>
      <c r="G204" t="s">
        <v>42</v>
      </c>
      <c r="H204" t="s">
        <v>42</v>
      </c>
      <c r="I204" t="s">
        <v>42</v>
      </c>
      <c r="J204" t="s">
        <v>42</v>
      </c>
      <c r="K204" t="s">
        <v>42</v>
      </c>
      <c r="L204" t="s">
        <v>42</v>
      </c>
      <c r="M204" t="s">
        <v>42</v>
      </c>
      <c r="N204" t="s">
        <v>122</v>
      </c>
    </row>
    <row r="205" spans="1:14" x14ac:dyDescent="0.25">
      <c r="A205" t="s">
        <v>35</v>
      </c>
      <c r="B205" s="5" t="s">
        <v>20</v>
      </c>
      <c r="C205" t="s">
        <v>121</v>
      </c>
      <c r="D205">
        <v>13.8</v>
      </c>
      <c r="E205">
        <f t="shared" si="8"/>
        <v>13.8</v>
      </c>
      <c r="F205" t="s">
        <v>42</v>
      </c>
      <c r="G205" t="s">
        <v>42</v>
      </c>
      <c r="H205" t="s">
        <v>42</v>
      </c>
      <c r="I205" t="s">
        <v>42</v>
      </c>
      <c r="J205" t="s">
        <v>42</v>
      </c>
      <c r="K205" t="s">
        <v>42</v>
      </c>
      <c r="L205" t="s">
        <v>42</v>
      </c>
      <c r="M205" t="s">
        <v>42</v>
      </c>
      <c r="N205" t="s">
        <v>122</v>
      </c>
    </row>
    <row r="206" spans="1:14" x14ac:dyDescent="0.25">
      <c r="A206" t="s">
        <v>35</v>
      </c>
      <c r="B206" s="5" t="s">
        <v>20</v>
      </c>
      <c r="C206" t="s">
        <v>121</v>
      </c>
      <c r="D206">
        <v>20.5</v>
      </c>
      <c r="E206">
        <f t="shared" si="8"/>
        <v>20.5</v>
      </c>
      <c r="F206" t="s">
        <v>42</v>
      </c>
      <c r="G206" t="s">
        <v>42</v>
      </c>
      <c r="H206" t="s">
        <v>42</v>
      </c>
      <c r="I206" t="s">
        <v>42</v>
      </c>
      <c r="J206" t="s">
        <v>42</v>
      </c>
      <c r="K206" t="s">
        <v>42</v>
      </c>
      <c r="L206" t="s">
        <v>42</v>
      </c>
      <c r="M206" t="s">
        <v>42</v>
      </c>
      <c r="N206" t="s">
        <v>122</v>
      </c>
    </row>
    <row r="207" spans="1:14" x14ac:dyDescent="0.25">
      <c r="A207" t="s">
        <v>35</v>
      </c>
      <c r="B207" s="5" t="s">
        <v>20</v>
      </c>
      <c r="C207" t="s">
        <v>121</v>
      </c>
      <c r="D207">
        <v>11.1</v>
      </c>
      <c r="E207">
        <f t="shared" si="8"/>
        <v>11.1</v>
      </c>
      <c r="F207" t="s">
        <v>42</v>
      </c>
      <c r="G207" t="s">
        <v>42</v>
      </c>
      <c r="H207" t="s">
        <v>42</v>
      </c>
      <c r="I207" t="s">
        <v>42</v>
      </c>
      <c r="J207" t="s">
        <v>42</v>
      </c>
      <c r="K207" t="s">
        <v>42</v>
      </c>
      <c r="L207" t="s">
        <v>42</v>
      </c>
      <c r="M207" t="s">
        <v>42</v>
      </c>
      <c r="N207" t="s">
        <v>122</v>
      </c>
    </row>
    <row r="208" spans="1:14" x14ac:dyDescent="0.25">
      <c r="A208" t="s">
        <v>35</v>
      </c>
      <c r="B208" s="5" t="s">
        <v>20</v>
      </c>
      <c r="C208" t="s">
        <v>121</v>
      </c>
      <c r="D208">
        <v>19.100000000000001</v>
      </c>
      <c r="E208">
        <f t="shared" si="8"/>
        <v>19.100000000000001</v>
      </c>
      <c r="F208" t="s">
        <v>42</v>
      </c>
      <c r="G208" t="s">
        <v>42</v>
      </c>
      <c r="H208" t="s">
        <v>42</v>
      </c>
      <c r="I208" t="s">
        <v>42</v>
      </c>
      <c r="J208" t="s">
        <v>42</v>
      </c>
      <c r="K208" t="s">
        <v>42</v>
      </c>
      <c r="L208" t="s">
        <v>42</v>
      </c>
      <c r="M208" t="s">
        <v>42</v>
      </c>
      <c r="N208" t="s">
        <v>122</v>
      </c>
    </row>
    <row r="209" spans="1:14" x14ac:dyDescent="0.25">
      <c r="A209" t="s">
        <v>35</v>
      </c>
      <c r="B209" s="5" t="s">
        <v>20</v>
      </c>
      <c r="C209" t="s">
        <v>121</v>
      </c>
      <c r="D209">
        <v>16.399999999999999</v>
      </c>
      <c r="E209">
        <f t="shared" si="8"/>
        <v>16.399999999999999</v>
      </c>
      <c r="F209" t="s">
        <v>42</v>
      </c>
      <c r="G209" t="s">
        <v>42</v>
      </c>
      <c r="H209" t="s">
        <v>42</v>
      </c>
      <c r="I209" t="s">
        <v>42</v>
      </c>
      <c r="J209" t="s">
        <v>42</v>
      </c>
      <c r="K209" t="s">
        <v>42</v>
      </c>
      <c r="L209" t="s">
        <v>42</v>
      </c>
      <c r="M209" t="s">
        <v>42</v>
      </c>
      <c r="N209" t="s">
        <v>122</v>
      </c>
    </row>
    <row r="210" spans="1:14" x14ac:dyDescent="0.25">
      <c r="A210" t="s">
        <v>35</v>
      </c>
      <c r="B210" s="5" t="s">
        <v>20</v>
      </c>
      <c r="C210" t="s">
        <v>121</v>
      </c>
      <c r="D210">
        <v>23.1</v>
      </c>
      <c r="E210">
        <f t="shared" si="8"/>
        <v>23.1</v>
      </c>
      <c r="F210" t="s">
        <v>42</v>
      </c>
      <c r="G210" t="s">
        <v>42</v>
      </c>
      <c r="H210" t="s">
        <v>42</v>
      </c>
      <c r="I210" t="s">
        <v>42</v>
      </c>
      <c r="J210" t="s">
        <v>42</v>
      </c>
      <c r="K210" t="s">
        <v>42</v>
      </c>
      <c r="L210" t="s">
        <v>42</v>
      </c>
      <c r="M210" t="s">
        <v>42</v>
      </c>
      <c r="N210" t="s">
        <v>122</v>
      </c>
    </row>
    <row r="211" spans="1:14" x14ac:dyDescent="0.25">
      <c r="A211" t="s">
        <v>35</v>
      </c>
      <c r="B211" s="5" t="s">
        <v>20</v>
      </c>
      <c r="C211" t="s">
        <v>121</v>
      </c>
      <c r="D211">
        <v>12.4</v>
      </c>
      <c r="E211">
        <f t="shared" si="8"/>
        <v>12.4</v>
      </c>
      <c r="F211" t="s">
        <v>42</v>
      </c>
      <c r="G211" t="s">
        <v>42</v>
      </c>
      <c r="H211" t="s">
        <v>42</v>
      </c>
      <c r="I211" t="s">
        <v>42</v>
      </c>
      <c r="J211" t="s">
        <v>42</v>
      </c>
      <c r="K211" t="s">
        <v>42</v>
      </c>
      <c r="L211" t="s">
        <v>42</v>
      </c>
      <c r="M211" t="s">
        <v>42</v>
      </c>
      <c r="N211" t="s">
        <v>122</v>
      </c>
    </row>
    <row r="212" spans="1:14" x14ac:dyDescent="0.25">
      <c r="A212" t="s">
        <v>35</v>
      </c>
      <c r="B212" s="5" t="s">
        <v>20</v>
      </c>
      <c r="C212" t="s">
        <v>121</v>
      </c>
      <c r="D212">
        <v>9</v>
      </c>
      <c r="E212">
        <f t="shared" si="8"/>
        <v>9</v>
      </c>
      <c r="F212" t="s">
        <v>42</v>
      </c>
      <c r="G212" t="s">
        <v>42</v>
      </c>
      <c r="H212" t="s">
        <v>42</v>
      </c>
      <c r="I212" t="s">
        <v>42</v>
      </c>
      <c r="J212" t="s">
        <v>42</v>
      </c>
      <c r="K212" t="s">
        <v>42</v>
      </c>
      <c r="L212" t="s">
        <v>42</v>
      </c>
      <c r="M212" t="s">
        <v>42</v>
      </c>
      <c r="N212" t="s">
        <v>122</v>
      </c>
    </row>
    <row r="213" spans="1:14" x14ac:dyDescent="0.25">
      <c r="A213" t="s">
        <v>35</v>
      </c>
      <c r="B213" s="5" t="s">
        <v>20</v>
      </c>
      <c r="C213" t="s">
        <v>121</v>
      </c>
      <c r="D213">
        <v>26.3</v>
      </c>
      <c r="E213">
        <f t="shared" si="8"/>
        <v>26.3</v>
      </c>
      <c r="F213" t="s">
        <v>42</v>
      </c>
      <c r="G213" t="s">
        <v>42</v>
      </c>
      <c r="H213" t="s">
        <v>42</v>
      </c>
      <c r="I213" t="s">
        <v>42</v>
      </c>
      <c r="J213" t="s">
        <v>42</v>
      </c>
      <c r="K213" t="s">
        <v>42</v>
      </c>
      <c r="L213" t="s">
        <v>42</v>
      </c>
      <c r="M213" t="s">
        <v>42</v>
      </c>
      <c r="N213" t="s">
        <v>122</v>
      </c>
    </row>
    <row r="214" spans="1:14" x14ac:dyDescent="0.25">
      <c r="A214" t="s">
        <v>35</v>
      </c>
      <c r="B214" s="5" t="s">
        <v>20</v>
      </c>
      <c r="C214" t="s">
        <v>121</v>
      </c>
      <c r="D214">
        <v>11.3</v>
      </c>
      <c r="E214">
        <f t="shared" si="8"/>
        <v>11.3</v>
      </c>
      <c r="F214" t="s">
        <v>42</v>
      </c>
      <c r="G214" t="s">
        <v>42</v>
      </c>
      <c r="H214" t="s">
        <v>42</v>
      </c>
      <c r="I214" t="s">
        <v>42</v>
      </c>
      <c r="J214" t="s">
        <v>42</v>
      </c>
      <c r="K214" t="s">
        <v>42</v>
      </c>
      <c r="L214" t="s">
        <v>42</v>
      </c>
      <c r="M214" t="s">
        <v>42</v>
      </c>
      <c r="N214" t="s">
        <v>122</v>
      </c>
    </row>
    <row r="215" spans="1:14" x14ac:dyDescent="0.25">
      <c r="A215" t="s">
        <v>35</v>
      </c>
      <c r="B215" s="5" t="s">
        <v>20</v>
      </c>
      <c r="C215" t="s">
        <v>121</v>
      </c>
      <c r="D215">
        <v>9.3000000000000007</v>
      </c>
      <c r="E215">
        <f t="shared" si="8"/>
        <v>9.3000000000000007</v>
      </c>
      <c r="F215" t="s">
        <v>42</v>
      </c>
      <c r="G215" t="s">
        <v>42</v>
      </c>
      <c r="H215" t="s">
        <v>42</v>
      </c>
      <c r="I215" t="s">
        <v>42</v>
      </c>
      <c r="J215" t="s">
        <v>42</v>
      </c>
      <c r="K215" t="s">
        <v>42</v>
      </c>
      <c r="L215" t="s">
        <v>42</v>
      </c>
      <c r="M215" t="s">
        <v>42</v>
      </c>
      <c r="N215" t="s">
        <v>122</v>
      </c>
    </row>
    <row r="216" spans="1:14" x14ac:dyDescent="0.25">
      <c r="A216" t="s">
        <v>35</v>
      </c>
      <c r="B216" s="5" t="s">
        <v>20</v>
      </c>
      <c r="C216" t="s">
        <v>121</v>
      </c>
      <c r="D216">
        <v>22.3</v>
      </c>
      <c r="E216">
        <f t="shared" si="8"/>
        <v>22.3</v>
      </c>
      <c r="F216" t="s">
        <v>42</v>
      </c>
      <c r="G216" t="s">
        <v>42</v>
      </c>
      <c r="H216" t="s">
        <v>42</v>
      </c>
      <c r="I216" t="s">
        <v>42</v>
      </c>
      <c r="J216" t="s">
        <v>42</v>
      </c>
      <c r="K216" t="s">
        <v>42</v>
      </c>
      <c r="L216" t="s">
        <v>42</v>
      </c>
      <c r="M216" t="s">
        <v>42</v>
      </c>
      <c r="N216" t="s">
        <v>122</v>
      </c>
    </row>
    <row r="217" spans="1:14" x14ac:dyDescent="0.25">
      <c r="A217" t="s">
        <v>35</v>
      </c>
      <c r="B217" s="5" t="s">
        <v>20</v>
      </c>
      <c r="C217" t="s">
        <v>121</v>
      </c>
      <c r="D217">
        <v>15.2</v>
      </c>
      <c r="E217">
        <f t="shared" si="8"/>
        <v>15.2</v>
      </c>
      <c r="F217" t="s">
        <v>42</v>
      </c>
      <c r="G217" t="s">
        <v>42</v>
      </c>
      <c r="H217" t="s">
        <v>42</v>
      </c>
      <c r="I217" t="s">
        <v>42</v>
      </c>
      <c r="J217" t="s">
        <v>42</v>
      </c>
      <c r="K217" t="s">
        <v>42</v>
      </c>
      <c r="L217" t="s">
        <v>42</v>
      </c>
      <c r="M217" t="s">
        <v>42</v>
      </c>
      <c r="N217" t="s">
        <v>122</v>
      </c>
    </row>
    <row r="218" spans="1:14" x14ac:dyDescent="0.25">
      <c r="A218" t="s">
        <v>35</v>
      </c>
      <c r="B218" s="5" t="s">
        <v>20</v>
      </c>
      <c r="C218" t="s">
        <v>121</v>
      </c>
      <c r="D218">
        <v>7.6</v>
      </c>
      <c r="E218">
        <f t="shared" si="8"/>
        <v>7.6</v>
      </c>
      <c r="F218" t="s">
        <v>42</v>
      </c>
      <c r="G218" t="s">
        <v>42</v>
      </c>
      <c r="H218" t="s">
        <v>42</v>
      </c>
      <c r="I218" t="s">
        <v>42</v>
      </c>
      <c r="J218" t="s">
        <v>42</v>
      </c>
      <c r="K218" t="s">
        <v>42</v>
      </c>
      <c r="L218" t="s">
        <v>42</v>
      </c>
      <c r="M218" t="s">
        <v>42</v>
      </c>
      <c r="N218" t="s">
        <v>122</v>
      </c>
    </row>
    <row r="219" spans="1:14" x14ac:dyDescent="0.25">
      <c r="A219" t="s">
        <v>35</v>
      </c>
      <c r="B219" s="5" t="s">
        <v>20</v>
      </c>
      <c r="C219" t="s">
        <v>121</v>
      </c>
      <c r="D219">
        <v>25.4</v>
      </c>
      <c r="E219">
        <f t="shared" si="8"/>
        <v>25.4</v>
      </c>
      <c r="F219" t="s">
        <v>42</v>
      </c>
      <c r="G219" t="s">
        <v>42</v>
      </c>
      <c r="H219" t="s">
        <v>42</v>
      </c>
      <c r="I219" t="s">
        <v>42</v>
      </c>
      <c r="J219" t="s">
        <v>42</v>
      </c>
      <c r="K219" t="s">
        <v>42</v>
      </c>
      <c r="L219" t="s">
        <v>42</v>
      </c>
      <c r="M219" t="s">
        <v>42</v>
      </c>
      <c r="N219" t="s">
        <v>122</v>
      </c>
    </row>
    <row r="220" spans="1:14" x14ac:dyDescent="0.25">
      <c r="A220" t="s">
        <v>35</v>
      </c>
      <c r="B220" s="5" t="s">
        <v>20</v>
      </c>
      <c r="C220" t="s">
        <v>121</v>
      </c>
      <c r="D220">
        <v>11.3</v>
      </c>
      <c r="E220">
        <f t="shared" si="8"/>
        <v>11.3</v>
      </c>
      <c r="F220" t="s">
        <v>42</v>
      </c>
      <c r="G220" t="s">
        <v>42</v>
      </c>
      <c r="H220" t="s">
        <v>42</v>
      </c>
      <c r="I220" t="s">
        <v>42</v>
      </c>
      <c r="J220" t="s">
        <v>42</v>
      </c>
      <c r="K220" t="s">
        <v>42</v>
      </c>
      <c r="L220" t="s">
        <v>42</v>
      </c>
      <c r="M220" t="s">
        <v>42</v>
      </c>
      <c r="N220" t="s">
        <v>122</v>
      </c>
    </row>
    <row r="221" spans="1:14" x14ac:dyDescent="0.25">
      <c r="A221" t="s">
        <v>35</v>
      </c>
      <c r="B221" s="5" t="s">
        <v>20</v>
      </c>
      <c r="C221" t="s">
        <v>121</v>
      </c>
      <c r="D221">
        <v>13.4</v>
      </c>
      <c r="E221">
        <f t="shared" si="8"/>
        <v>13.4</v>
      </c>
      <c r="F221" t="s">
        <v>42</v>
      </c>
      <c r="G221" t="s">
        <v>42</v>
      </c>
      <c r="H221" t="s">
        <v>42</v>
      </c>
      <c r="I221" t="s">
        <v>42</v>
      </c>
      <c r="J221" t="s">
        <v>42</v>
      </c>
      <c r="K221" t="s">
        <v>42</v>
      </c>
      <c r="L221" t="s">
        <v>42</v>
      </c>
      <c r="M221" t="s">
        <v>42</v>
      </c>
      <c r="N221" t="s">
        <v>122</v>
      </c>
    </row>
    <row r="222" spans="1:14" x14ac:dyDescent="0.25">
      <c r="A222" t="s">
        <v>35</v>
      </c>
      <c r="B222" s="5" t="s">
        <v>20</v>
      </c>
      <c r="C222" t="s">
        <v>121</v>
      </c>
      <c r="D222">
        <v>11.6</v>
      </c>
      <c r="E222">
        <f t="shared" si="8"/>
        <v>11.6</v>
      </c>
      <c r="F222" t="s">
        <v>42</v>
      </c>
      <c r="G222" t="s">
        <v>42</v>
      </c>
      <c r="H222" t="s">
        <v>42</v>
      </c>
      <c r="I222" t="s">
        <v>42</v>
      </c>
      <c r="J222" t="s">
        <v>42</v>
      </c>
      <c r="K222" t="s">
        <v>42</v>
      </c>
      <c r="L222" t="s">
        <v>42</v>
      </c>
      <c r="M222" t="s">
        <v>42</v>
      </c>
      <c r="N222" t="s">
        <v>122</v>
      </c>
    </row>
    <row r="223" spans="1:14" x14ac:dyDescent="0.25">
      <c r="A223" t="s">
        <v>35</v>
      </c>
      <c r="B223" s="5" t="s">
        <v>20</v>
      </c>
      <c r="C223" t="s">
        <v>121</v>
      </c>
      <c r="D223">
        <v>12</v>
      </c>
      <c r="E223">
        <f t="shared" si="8"/>
        <v>12</v>
      </c>
      <c r="F223" t="s">
        <v>42</v>
      </c>
      <c r="G223" t="s">
        <v>42</v>
      </c>
      <c r="H223" t="s">
        <v>42</v>
      </c>
      <c r="I223" t="s">
        <v>42</v>
      </c>
      <c r="J223" t="s">
        <v>42</v>
      </c>
      <c r="K223" t="s">
        <v>42</v>
      </c>
      <c r="L223" t="s">
        <v>42</v>
      </c>
      <c r="M223" t="s">
        <v>42</v>
      </c>
      <c r="N223" t="s">
        <v>122</v>
      </c>
    </row>
    <row r="224" spans="1:14" x14ac:dyDescent="0.25">
      <c r="A224" t="s">
        <v>35</v>
      </c>
      <c r="B224" s="5" t="s">
        <v>20</v>
      </c>
      <c r="C224" t="s">
        <v>121</v>
      </c>
      <c r="D224">
        <v>12.8</v>
      </c>
      <c r="E224">
        <f t="shared" si="8"/>
        <v>12.8</v>
      </c>
      <c r="F224" t="s">
        <v>42</v>
      </c>
      <c r="G224" t="s">
        <v>42</v>
      </c>
      <c r="H224" t="s">
        <v>42</v>
      </c>
      <c r="I224" t="s">
        <v>42</v>
      </c>
      <c r="J224" t="s">
        <v>42</v>
      </c>
      <c r="K224" t="s">
        <v>42</v>
      </c>
      <c r="L224" t="s">
        <v>42</v>
      </c>
      <c r="M224" t="s">
        <v>42</v>
      </c>
      <c r="N224" t="s">
        <v>122</v>
      </c>
    </row>
    <row r="225" spans="1:14" x14ac:dyDescent="0.25">
      <c r="A225" t="s">
        <v>35</v>
      </c>
      <c r="B225" s="5" t="s">
        <v>20</v>
      </c>
      <c r="C225" t="s">
        <v>121</v>
      </c>
      <c r="D225">
        <v>25.8</v>
      </c>
      <c r="E225">
        <f t="shared" si="8"/>
        <v>25.8</v>
      </c>
      <c r="F225" t="s">
        <v>42</v>
      </c>
      <c r="G225" t="s">
        <v>42</v>
      </c>
      <c r="H225" t="s">
        <v>42</v>
      </c>
      <c r="I225" t="s">
        <v>42</v>
      </c>
      <c r="J225" t="s">
        <v>42</v>
      </c>
      <c r="K225" t="s">
        <v>42</v>
      </c>
      <c r="L225" t="s">
        <v>42</v>
      </c>
      <c r="M225" t="s">
        <v>42</v>
      </c>
      <c r="N225" t="s">
        <v>122</v>
      </c>
    </row>
    <row r="226" spans="1:14" x14ac:dyDescent="0.25">
      <c r="A226" t="s">
        <v>35</v>
      </c>
      <c r="B226" s="5" t="s">
        <v>20</v>
      </c>
      <c r="C226" t="s">
        <v>121</v>
      </c>
      <c r="D226">
        <v>14.2</v>
      </c>
      <c r="E226">
        <f t="shared" si="8"/>
        <v>14.2</v>
      </c>
      <c r="F226" t="s">
        <v>42</v>
      </c>
      <c r="G226" t="s">
        <v>42</v>
      </c>
      <c r="H226" t="s">
        <v>42</v>
      </c>
      <c r="I226" t="s">
        <v>42</v>
      </c>
      <c r="J226" t="s">
        <v>42</v>
      </c>
      <c r="K226" t="s">
        <v>42</v>
      </c>
      <c r="L226" t="s">
        <v>42</v>
      </c>
      <c r="M226" t="s">
        <v>42</v>
      </c>
      <c r="N226" t="s">
        <v>122</v>
      </c>
    </row>
    <row r="227" spans="1:14" x14ac:dyDescent="0.25">
      <c r="A227" t="s">
        <v>35</v>
      </c>
      <c r="B227" s="5" t="s">
        <v>20</v>
      </c>
      <c r="C227" t="s">
        <v>121</v>
      </c>
      <c r="D227">
        <v>34.799999999999997</v>
      </c>
      <c r="E227">
        <f t="shared" si="8"/>
        <v>34.799999999999997</v>
      </c>
      <c r="F227" t="s">
        <v>42</v>
      </c>
      <c r="G227" t="s">
        <v>42</v>
      </c>
      <c r="H227" t="s">
        <v>42</v>
      </c>
      <c r="I227" t="s">
        <v>42</v>
      </c>
      <c r="J227" t="s">
        <v>42</v>
      </c>
      <c r="K227" t="s">
        <v>42</v>
      </c>
      <c r="L227" t="s">
        <v>42</v>
      </c>
      <c r="M227" t="s">
        <v>42</v>
      </c>
      <c r="N227" t="s">
        <v>122</v>
      </c>
    </row>
    <row r="228" spans="1:14" x14ac:dyDescent="0.25">
      <c r="A228" t="s">
        <v>35</v>
      </c>
      <c r="B228" s="5" t="s">
        <v>20</v>
      </c>
      <c r="C228" t="s">
        <v>121</v>
      </c>
      <c r="D228">
        <v>12.8</v>
      </c>
      <c r="E228">
        <f t="shared" si="8"/>
        <v>12.8</v>
      </c>
      <c r="F228" t="s">
        <v>42</v>
      </c>
      <c r="G228" t="s">
        <v>42</v>
      </c>
      <c r="H228" t="s">
        <v>42</v>
      </c>
      <c r="I228" t="s">
        <v>42</v>
      </c>
      <c r="J228" t="s">
        <v>42</v>
      </c>
      <c r="K228" t="s">
        <v>42</v>
      </c>
      <c r="L228" t="s">
        <v>42</v>
      </c>
      <c r="M228" t="s">
        <v>42</v>
      </c>
      <c r="N228" t="s">
        <v>122</v>
      </c>
    </row>
    <row r="229" spans="1:14" x14ac:dyDescent="0.25">
      <c r="A229" t="s">
        <v>35</v>
      </c>
      <c r="B229" s="5" t="s">
        <v>20</v>
      </c>
      <c r="C229" t="s">
        <v>121</v>
      </c>
      <c r="D229">
        <v>9.4</v>
      </c>
      <c r="E229">
        <f t="shared" si="8"/>
        <v>9.4</v>
      </c>
      <c r="F229" t="s">
        <v>42</v>
      </c>
      <c r="G229" t="s">
        <v>42</v>
      </c>
      <c r="H229" t="s">
        <v>42</v>
      </c>
      <c r="I229" t="s">
        <v>42</v>
      </c>
      <c r="J229" t="s">
        <v>42</v>
      </c>
      <c r="K229" t="s">
        <v>42</v>
      </c>
      <c r="L229" t="s">
        <v>42</v>
      </c>
      <c r="M229" t="s">
        <v>42</v>
      </c>
      <c r="N229" t="s">
        <v>122</v>
      </c>
    </row>
    <row r="230" spans="1:14" x14ac:dyDescent="0.25">
      <c r="A230" t="s">
        <v>35</v>
      </c>
      <c r="B230" s="5" t="s">
        <v>20</v>
      </c>
      <c r="C230" t="s">
        <v>121</v>
      </c>
      <c r="D230">
        <v>22.1</v>
      </c>
      <c r="E230">
        <f t="shared" si="8"/>
        <v>22.1</v>
      </c>
      <c r="F230" t="s">
        <v>42</v>
      </c>
      <c r="G230" t="s">
        <v>42</v>
      </c>
      <c r="H230" t="s">
        <v>42</v>
      </c>
      <c r="I230" t="s">
        <v>42</v>
      </c>
      <c r="J230" t="s">
        <v>42</v>
      </c>
      <c r="K230" t="s">
        <v>42</v>
      </c>
      <c r="L230" t="s">
        <v>42</v>
      </c>
      <c r="M230" t="s">
        <v>42</v>
      </c>
      <c r="N230" t="s">
        <v>122</v>
      </c>
    </row>
    <row r="231" spans="1:14" x14ac:dyDescent="0.25">
      <c r="A231" t="s">
        <v>35</v>
      </c>
      <c r="B231" s="5" t="s">
        <v>20</v>
      </c>
      <c r="C231" t="s">
        <v>121</v>
      </c>
      <c r="D231">
        <v>7.6</v>
      </c>
      <c r="E231">
        <f t="shared" si="8"/>
        <v>7.6</v>
      </c>
      <c r="F231" t="s">
        <v>42</v>
      </c>
      <c r="G231" t="s">
        <v>42</v>
      </c>
      <c r="H231" t="s">
        <v>42</v>
      </c>
      <c r="I231" t="s">
        <v>42</v>
      </c>
      <c r="J231" t="s">
        <v>42</v>
      </c>
      <c r="K231" t="s">
        <v>42</v>
      </c>
      <c r="L231" t="s">
        <v>42</v>
      </c>
      <c r="M231" t="s">
        <v>42</v>
      </c>
      <c r="N231" t="s">
        <v>122</v>
      </c>
    </row>
    <row r="232" spans="1:14" x14ac:dyDescent="0.25">
      <c r="A232" t="s">
        <v>35</v>
      </c>
      <c r="B232" s="5" t="s">
        <v>20</v>
      </c>
      <c r="C232" t="s">
        <v>121</v>
      </c>
      <c r="D232">
        <v>15.9</v>
      </c>
      <c r="E232">
        <f t="shared" si="8"/>
        <v>15.9</v>
      </c>
      <c r="F232" t="s">
        <v>42</v>
      </c>
      <c r="G232" t="s">
        <v>42</v>
      </c>
      <c r="H232" t="s">
        <v>42</v>
      </c>
      <c r="I232" t="s">
        <v>42</v>
      </c>
      <c r="J232" t="s">
        <v>42</v>
      </c>
      <c r="K232" t="s">
        <v>42</v>
      </c>
      <c r="L232" t="s">
        <v>42</v>
      </c>
      <c r="M232" t="s">
        <v>42</v>
      </c>
      <c r="N232" t="s">
        <v>122</v>
      </c>
    </row>
    <row r="233" spans="1:14" x14ac:dyDescent="0.25">
      <c r="A233" t="s">
        <v>35</v>
      </c>
      <c r="B233" s="5" t="s">
        <v>20</v>
      </c>
      <c r="C233" t="s">
        <v>121</v>
      </c>
      <c r="D233">
        <v>10.9</v>
      </c>
      <c r="E233">
        <f t="shared" si="8"/>
        <v>10.9</v>
      </c>
      <c r="F233" t="s">
        <v>42</v>
      </c>
      <c r="G233" t="s">
        <v>42</v>
      </c>
      <c r="H233" t="s">
        <v>42</v>
      </c>
      <c r="I233" t="s">
        <v>42</v>
      </c>
      <c r="J233" t="s">
        <v>42</v>
      </c>
      <c r="K233" t="s">
        <v>42</v>
      </c>
      <c r="L233" t="s">
        <v>42</v>
      </c>
      <c r="M233" t="s">
        <v>42</v>
      </c>
      <c r="N233" t="s">
        <v>122</v>
      </c>
    </row>
    <row r="234" spans="1:14" x14ac:dyDescent="0.25">
      <c r="A234" t="s">
        <v>35</v>
      </c>
      <c r="B234" s="5" t="s">
        <v>20</v>
      </c>
      <c r="C234" t="s">
        <v>121</v>
      </c>
      <c r="D234">
        <v>24.5</v>
      </c>
      <c r="E234">
        <f t="shared" si="8"/>
        <v>24.5</v>
      </c>
      <c r="F234" t="s">
        <v>42</v>
      </c>
      <c r="G234" t="s">
        <v>42</v>
      </c>
      <c r="H234" t="s">
        <v>42</v>
      </c>
      <c r="I234" t="s">
        <v>42</v>
      </c>
      <c r="J234" t="s">
        <v>42</v>
      </c>
      <c r="K234" t="s">
        <v>42</v>
      </c>
      <c r="L234" t="s">
        <v>42</v>
      </c>
      <c r="M234" t="s">
        <v>42</v>
      </c>
      <c r="N234" t="s">
        <v>122</v>
      </c>
    </row>
    <row r="235" spans="1:14" x14ac:dyDescent="0.25">
      <c r="A235" t="s">
        <v>35</v>
      </c>
      <c r="B235" s="5" t="s">
        <v>20</v>
      </c>
      <c r="C235" t="s">
        <v>121</v>
      </c>
      <c r="D235">
        <v>16.399999999999999</v>
      </c>
      <c r="E235">
        <f t="shared" si="8"/>
        <v>16.399999999999999</v>
      </c>
      <c r="F235" t="s">
        <v>42</v>
      </c>
      <c r="G235" t="s">
        <v>42</v>
      </c>
      <c r="H235" t="s">
        <v>42</v>
      </c>
      <c r="I235" t="s">
        <v>42</v>
      </c>
      <c r="J235" t="s">
        <v>42</v>
      </c>
      <c r="K235" t="s">
        <v>42</v>
      </c>
      <c r="L235" t="s">
        <v>42</v>
      </c>
      <c r="M235" t="s">
        <v>42</v>
      </c>
      <c r="N235" t="s">
        <v>122</v>
      </c>
    </row>
    <row r="236" spans="1:14" x14ac:dyDescent="0.25">
      <c r="A236" t="s">
        <v>35</v>
      </c>
      <c r="B236" s="5" t="s">
        <v>20</v>
      </c>
      <c r="C236" t="s">
        <v>121</v>
      </c>
      <c r="D236">
        <v>16.7</v>
      </c>
      <c r="E236">
        <f t="shared" si="8"/>
        <v>16.7</v>
      </c>
      <c r="F236" t="s">
        <v>42</v>
      </c>
      <c r="G236" t="s">
        <v>42</v>
      </c>
      <c r="H236" t="s">
        <v>42</v>
      </c>
      <c r="I236" t="s">
        <v>42</v>
      </c>
      <c r="J236" t="s">
        <v>42</v>
      </c>
      <c r="K236" t="s">
        <v>42</v>
      </c>
      <c r="L236" t="s">
        <v>42</v>
      </c>
      <c r="M236" t="s">
        <v>42</v>
      </c>
      <c r="N236" t="s">
        <v>122</v>
      </c>
    </row>
    <row r="237" spans="1:14" x14ac:dyDescent="0.25">
      <c r="A237" t="s">
        <v>35</v>
      </c>
      <c r="B237" s="5" t="s">
        <v>20</v>
      </c>
      <c r="C237" t="s">
        <v>121</v>
      </c>
      <c r="D237">
        <v>11.6</v>
      </c>
      <c r="E237">
        <f t="shared" si="8"/>
        <v>11.6</v>
      </c>
      <c r="F237" t="s">
        <v>42</v>
      </c>
      <c r="G237" t="s">
        <v>42</v>
      </c>
      <c r="H237" t="s">
        <v>42</v>
      </c>
      <c r="I237" t="s">
        <v>42</v>
      </c>
      <c r="J237" t="s">
        <v>42</v>
      </c>
      <c r="K237" t="s">
        <v>42</v>
      </c>
      <c r="L237" t="s">
        <v>42</v>
      </c>
      <c r="M237" t="s">
        <v>42</v>
      </c>
      <c r="N237" t="s">
        <v>122</v>
      </c>
    </row>
    <row r="238" spans="1:14" x14ac:dyDescent="0.25">
      <c r="A238" t="s">
        <v>35</v>
      </c>
      <c r="B238" s="5" t="s">
        <v>20</v>
      </c>
      <c r="C238" t="s">
        <v>121</v>
      </c>
      <c r="D238">
        <v>15.5</v>
      </c>
      <c r="E238">
        <f t="shared" si="8"/>
        <v>15.5</v>
      </c>
      <c r="F238" t="s">
        <v>42</v>
      </c>
      <c r="G238" t="s">
        <v>42</v>
      </c>
      <c r="H238" t="s">
        <v>42</v>
      </c>
      <c r="I238" t="s">
        <v>42</v>
      </c>
      <c r="J238" t="s">
        <v>42</v>
      </c>
      <c r="K238" t="s">
        <v>42</v>
      </c>
      <c r="L238" t="s">
        <v>42</v>
      </c>
      <c r="M238" t="s">
        <v>42</v>
      </c>
      <c r="N238" t="s">
        <v>122</v>
      </c>
    </row>
    <row r="239" spans="1:14" x14ac:dyDescent="0.25">
      <c r="A239" t="s">
        <v>35</v>
      </c>
      <c r="B239" s="5" t="s">
        <v>20</v>
      </c>
      <c r="C239" t="s">
        <v>121</v>
      </c>
      <c r="D239">
        <v>19.899999999999999</v>
      </c>
      <c r="E239">
        <f t="shared" si="8"/>
        <v>19.899999999999999</v>
      </c>
      <c r="F239" t="s">
        <v>42</v>
      </c>
      <c r="G239" t="s">
        <v>42</v>
      </c>
      <c r="H239" t="s">
        <v>42</v>
      </c>
      <c r="I239" t="s">
        <v>42</v>
      </c>
      <c r="J239" t="s">
        <v>42</v>
      </c>
      <c r="K239" t="s">
        <v>42</v>
      </c>
      <c r="L239" t="s">
        <v>42</v>
      </c>
      <c r="M239" t="s">
        <v>42</v>
      </c>
      <c r="N239" t="s">
        <v>122</v>
      </c>
    </row>
    <row r="240" spans="1:14" x14ac:dyDescent="0.25">
      <c r="A240" t="s">
        <v>37</v>
      </c>
      <c r="B240" s="5" t="s">
        <v>20</v>
      </c>
      <c r="C240" t="s">
        <v>121</v>
      </c>
      <c r="D240">
        <v>11.5</v>
      </c>
      <c r="E240">
        <f t="shared" si="8"/>
        <v>11.5</v>
      </c>
      <c r="F240" t="s">
        <v>42</v>
      </c>
      <c r="G240" t="s">
        <v>42</v>
      </c>
      <c r="H240" t="s">
        <v>42</v>
      </c>
      <c r="I240" t="s">
        <v>42</v>
      </c>
      <c r="J240" t="s">
        <v>42</v>
      </c>
      <c r="K240" t="s">
        <v>42</v>
      </c>
      <c r="L240" t="s">
        <v>42</v>
      </c>
      <c r="M240" t="s">
        <v>42</v>
      </c>
      <c r="N240" t="s">
        <v>122</v>
      </c>
    </row>
    <row r="241" spans="1:14" x14ac:dyDescent="0.25">
      <c r="A241" t="s">
        <v>37</v>
      </c>
      <c r="B241" s="5" t="s">
        <v>20</v>
      </c>
      <c r="C241" t="s">
        <v>121</v>
      </c>
      <c r="D241">
        <v>10.199999999999999</v>
      </c>
      <c r="E241">
        <f t="shared" si="8"/>
        <v>10.199999999999999</v>
      </c>
      <c r="F241" t="s">
        <v>42</v>
      </c>
      <c r="G241" t="s">
        <v>42</v>
      </c>
      <c r="H241" t="s">
        <v>42</v>
      </c>
      <c r="I241" t="s">
        <v>42</v>
      </c>
      <c r="J241" t="s">
        <v>42</v>
      </c>
      <c r="K241" t="s">
        <v>42</v>
      </c>
      <c r="L241" t="s">
        <v>42</v>
      </c>
      <c r="M241" t="s">
        <v>42</v>
      </c>
      <c r="N241" t="s">
        <v>122</v>
      </c>
    </row>
    <row r="242" spans="1:14" x14ac:dyDescent="0.25">
      <c r="A242" t="s">
        <v>37</v>
      </c>
      <c r="B242" s="5" t="s">
        <v>20</v>
      </c>
      <c r="C242" t="s">
        <v>121</v>
      </c>
      <c r="D242">
        <v>11.3</v>
      </c>
      <c r="E242">
        <f t="shared" si="8"/>
        <v>11.3</v>
      </c>
      <c r="F242" t="s">
        <v>42</v>
      </c>
      <c r="G242" t="s">
        <v>42</v>
      </c>
      <c r="H242" t="s">
        <v>42</v>
      </c>
      <c r="I242" t="s">
        <v>42</v>
      </c>
      <c r="J242" t="s">
        <v>42</v>
      </c>
      <c r="K242" t="s">
        <v>42</v>
      </c>
      <c r="L242" t="s">
        <v>42</v>
      </c>
      <c r="M242" t="s">
        <v>42</v>
      </c>
      <c r="N242" t="s">
        <v>122</v>
      </c>
    </row>
    <row r="243" spans="1:14" x14ac:dyDescent="0.25">
      <c r="A243" t="s">
        <v>37</v>
      </c>
      <c r="B243" s="5" t="s">
        <v>20</v>
      </c>
      <c r="C243" t="s">
        <v>121</v>
      </c>
      <c r="D243">
        <v>13.2</v>
      </c>
      <c r="E243">
        <f t="shared" si="8"/>
        <v>13.2</v>
      </c>
      <c r="F243" t="s">
        <v>42</v>
      </c>
      <c r="G243" t="s">
        <v>42</v>
      </c>
      <c r="H243" t="s">
        <v>42</v>
      </c>
      <c r="I243" t="s">
        <v>42</v>
      </c>
      <c r="J243" t="s">
        <v>42</v>
      </c>
      <c r="K243" t="s">
        <v>42</v>
      </c>
      <c r="L243" t="s">
        <v>42</v>
      </c>
      <c r="M243" t="s">
        <v>42</v>
      </c>
      <c r="N243" t="s">
        <v>122</v>
      </c>
    </row>
    <row r="244" spans="1:14" x14ac:dyDescent="0.25">
      <c r="A244" t="s">
        <v>37</v>
      </c>
      <c r="B244" s="5" t="s">
        <v>20</v>
      </c>
      <c r="C244" t="s">
        <v>121</v>
      </c>
      <c r="D244">
        <v>10.1</v>
      </c>
      <c r="E244">
        <f t="shared" si="8"/>
        <v>10.1</v>
      </c>
      <c r="F244" t="s">
        <v>42</v>
      </c>
      <c r="G244" t="s">
        <v>42</v>
      </c>
      <c r="H244" t="s">
        <v>42</v>
      </c>
      <c r="I244" t="s">
        <v>42</v>
      </c>
      <c r="J244" t="s">
        <v>42</v>
      </c>
      <c r="K244" t="s">
        <v>42</v>
      </c>
      <c r="L244" t="s">
        <v>42</v>
      </c>
      <c r="M244" t="s">
        <v>42</v>
      </c>
      <c r="N244" t="s">
        <v>122</v>
      </c>
    </row>
    <row r="245" spans="1:14" x14ac:dyDescent="0.25">
      <c r="A245" t="s">
        <v>37</v>
      </c>
      <c r="B245" s="5" t="s">
        <v>20</v>
      </c>
      <c r="C245" t="s">
        <v>121</v>
      </c>
      <c r="D245">
        <v>15.7</v>
      </c>
      <c r="E245">
        <f t="shared" si="8"/>
        <v>15.7</v>
      </c>
      <c r="F245" t="s">
        <v>42</v>
      </c>
      <c r="G245" t="s">
        <v>42</v>
      </c>
      <c r="H245" t="s">
        <v>42</v>
      </c>
      <c r="I245" t="s">
        <v>42</v>
      </c>
      <c r="J245" t="s">
        <v>42</v>
      </c>
      <c r="K245" t="s">
        <v>42</v>
      </c>
      <c r="L245" t="s">
        <v>42</v>
      </c>
      <c r="M245" t="s">
        <v>42</v>
      </c>
      <c r="N245" t="s">
        <v>122</v>
      </c>
    </row>
    <row r="246" spans="1:14" x14ac:dyDescent="0.25">
      <c r="A246" t="s">
        <v>37</v>
      </c>
      <c r="B246" s="5" t="s">
        <v>20</v>
      </c>
      <c r="C246" t="s">
        <v>121</v>
      </c>
      <c r="D246">
        <v>11.1</v>
      </c>
      <c r="E246">
        <f t="shared" si="8"/>
        <v>11.1</v>
      </c>
      <c r="F246" t="s">
        <v>42</v>
      </c>
      <c r="G246" t="s">
        <v>42</v>
      </c>
      <c r="H246" t="s">
        <v>42</v>
      </c>
      <c r="I246" t="s">
        <v>42</v>
      </c>
      <c r="J246" t="s">
        <v>42</v>
      </c>
      <c r="K246" t="s">
        <v>42</v>
      </c>
      <c r="L246" t="s">
        <v>42</v>
      </c>
      <c r="M246" t="s">
        <v>42</v>
      </c>
      <c r="N246" t="s">
        <v>122</v>
      </c>
    </row>
    <row r="247" spans="1:14" x14ac:dyDescent="0.25">
      <c r="A247" t="s">
        <v>37</v>
      </c>
      <c r="B247" s="5" t="s">
        <v>20</v>
      </c>
      <c r="C247" t="s">
        <v>121</v>
      </c>
      <c r="D247">
        <v>8.3000000000000007</v>
      </c>
      <c r="E247">
        <f t="shared" si="8"/>
        <v>8.3000000000000007</v>
      </c>
      <c r="F247" t="s">
        <v>42</v>
      </c>
      <c r="G247" t="s">
        <v>42</v>
      </c>
      <c r="H247" t="s">
        <v>42</v>
      </c>
      <c r="I247" t="s">
        <v>42</v>
      </c>
      <c r="J247" t="s">
        <v>42</v>
      </c>
      <c r="K247" t="s">
        <v>42</v>
      </c>
      <c r="L247" t="s">
        <v>42</v>
      </c>
      <c r="M247" t="s">
        <v>42</v>
      </c>
      <c r="N247" t="s">
        <v>122</v>
      </c>
    </row>
    <row r="248" spans="1:14" x14ac:dyDescent="0.25">
      <c r="A248" t="s">
        <v>37</v>
      </c>
      <c r="B248" s="5" t="s">
        <v>20</v>
      </c>
      <c r="C248" t="s">
        <v>121</v>
      </c>
      <c r="D248">
        <v>16.3</v>
      </c>
      <c r="E248">
        <f t="shared" si="8"/>
        <v>16.3</v>
      </c>
      <c r="F248" t="s">
        <v>42</v>
      </c>
      <c r="G248" t="s">
        <v>42</v>
      </c>
      <c r="H248" t="s">
        <v>42</v>
      </c>
      <c r="I248" t="s">
        <v>42</v>
      </c>
      <c r="J248" t="s">
        <v>42</v>
      </c>
      <c r="K248" t="s">
        <v>42</v>
      </c>
      <c r="L248" t="s">
        <v>42</v>
      </c>
      <c r="M248" t="s">
        <v>42</v>
      </c>
      <c r="N248" t="s">
        <v>122</v>
      </c>
    </row>
    <row r="249" spans="1:14" x14ac:dyDescent="0.25">
      <c r="A249" t="s">
        <v>37</v>
      </c>
      <c r="B249" s="5" t="s">
        <v>20</v>
      </c>
      <c r="C249" t="s">
        <v>121</v>
      </c>
      <c r="D249">
        <v>23.8</v>
      </c>
      <c r="E249">
        <f t="shared" si="8"/>
        <v>23.8</v>
      </c>
      <c r="F249" t="s">
        <v>42</v>
      </c>
      <c r="G249" t="s">
        <v>42</v>
      </c>
      <c r="H249" t="s">
        <v>42</v>
      </c>
      <c r="I249" t="s">
        <v>42</v>
      </c>
      <c r="J249" t="s">
        <v>42</v>
      </c>
      <c r="K249" t="s">
        <v>42</v>
      </c>
      <c r="L249" t="s">
        <v>42</v>
      </c>
      <c r="M249" t="s">
        <v>42</v>
      </c>
      <c r="N249" t="s">
        <v>122</v>
      </c>
    </row>
    <row r="250" spans="1:14" x14ac:dyDescent="0.25">
      <c r="A250" t="s">
        <v>37</v>
      </c>
      <c r="B250" s="5" t="s">
        <v>20</v>
      </c>
      <c r="C250" t="s">
        <v>121</v>
      </c>
      <c r="D250">
        <v>20.6</v>
      </c>
      <c r="E250">
        <f t="shared" si="8"/>
        <v>20.6</v>
      </c>
      <c r="F250" t="s">
        <v>42</v>
      </c>
      <c r="G250" t="s">
        <v>42</v>
      </c>
      <c r="H250" t="s">
        <v>42</v>
      </c>
      <c r="I250" t="s">
        <v>42</v>
      </c>
      <c r="J250" t="s">
        <v>42</v>
      </c>
      <c r="K250" t="s">
        <v>42</v>
      </c>
      <c r="L250" t="s">
        <v>42</v>
      </c>
      <c r="M250" t="s">
        <v>42</v>
      </c>
      <c r="N250" t="s">
        <v>122</v>
      </c>
    </row>
    <row r="251" spans="1:14" x14ac:dyDescent="0.25">
      <c r="A251" t="s">
        <v>37</v>
      </c>
      <c r="B251" s="5" t="s">
        <v>20</v>
      </c>
      <c r="C251" t="s">
        <v>121</v>
      </c>
      <c r="D251">
        <v>12.5</v>
      </c>
      <c r="E251">
        <f t="shared" si="8"/>
        <v>12.5</v>
      </c>
      <c r="F251" t="s">
        <v>42</v>
      </c>
      <c r="G251" t="s">
        <v>42</v>
      </c>
      <c r="H251" t="s">
        <v>42</v>
      </c>
      <c r="I251" t="s">
        <v>42</v>
      </c>
      <c r="J251" t="s">
        <v>42</v>
      </c>
      <c r="K251" t="s">
        <v>42</v>
      </c>
      <c r="L251" t="s">
        <v>42</v>
      </c>
      <c r="M251" t="s">
        <v>42</v>
      </c>
      <c r="N251" t="s">
        <v>122</v>
      </c>
    </row>
    <row r="252" spans="1:14" x14ac:dyDescent="0.25">
      <c r="A252" t="s">
        <v>37</v>
      </c>
      <c r="B252" s="5" t="s">
        <v>20</v>
      </c>
      <c r="C252" t="s">
        <v>121</v>
      </c>
      <c r="D252">
        <v>17.5</v>
      </c>
      <c r="E252">
        <f t="shared" si="8"/>
        <v>17.5</v>
      </c>
      <c r="F252" t="s">
        <v>42</v>
      </c>
      <c r="G252" t="s">
        <v>42</v>
      </c>
      <c r="H252" t="s">
        <v>42</v>
      </c>
      <c r="I252" t="s">
        <v>42</v>
      </c>
      <c r="J252" t="s">
        <v>42</v>
      </c>
      <c r="K252" t="s">
        <v>42</v>
      </c>
      <c r="L252" t="s">
        <v>42</v>
      </c>
      <c r="M252" t="s">
        <v>42</v>
      </c>
      <c r="N252" t="s">
        <v>122</v>
      </c>
    </row>
    <row r="253" spans="1:14" x14ac:dyDescent="0.25">
      <c r="A253" t="s">
        <v>37</v>
      </c>
      <c r="B253" s="5" t="s">
        <v>20</v>
      </c>
      <c r="C253" t="s">
        <v>121</v>
      </c>
      <c r="D253">
        <v>15.6</v>
      </c>
      <c r="E253">
        <f t="shared" si="8"/>
        <v>15.6</v>
      </c>
      <c r="F253" t="s">
        <v>42</v>
      </c>
      <c r="G253" t="s">
        <v>42</v>
      </c>
      <c r="H253" t="s">
        <v>42</v>
      </c>
      <c r="I253" t="s">
        <v>42</v>
      </c>
      <c r="J253" t="s">
        <v>42</v>
      </c>
      <c r="K253" t="s">
        <v>42</v>
      </c>
      <c r="L253" t="s">
        <v>42</v>
      </c>
      <c r="M253" t="s">
        <v>42</v>
      </c>
      <c r="N253" t="s">
        <v>122</v>
      </c>
    </row>
    <row r="254" spans="1:14" x14ac:dyDescent="0.25">
      <c r="A254" t="s">
        <v>37</v>
      </c>
      <c r="B254" s="5" t="s">
        <v>20</v>
      </c>
      <c r="C254" t="s">
        <v>121</v>
      </c>
      <c r="D254">
        <v>12.6</v>
      </c>
      <c r="E254">
        <f t="shared" si="8"/>
        <v>12.6</v>
      </c>
      <c r="F254" t="s">
        <v>42</v>
      </c>
      <c r="G254" t="s">
        <v>42</v>
      </c>
      <c r="H254" t="s">
        <v>42</v>
      </c>
      <c r="I254" t="s">
        <v>42</v>
      </c>
      <c r="J254" t="s">
        <v>42</v>
      </c>
      <c r="K254" t="s">
        <v>42</v>
      </c>
      <c r="L254" t="s">
        <v>42</v>
      </c>
      <c r="M254" t="s">
        <v>42</v>
      </c>
      <c r="N254" t="s">
        <v>122</v>
      </c>
    </row>
    <row r="255" spans="1:14" x14ac:dyDescent="0.25">
      <c r="A255" t="s">
        <v>37</v>
      </c>
      <c r="B255" s="5" t="s">
        <v>20</v>
      </c>
      <c r="C255" t="s">
        <v>121</v>
      </c>
      <c r="D255">
        <v>10</v>
      </c>
      <c r="E255">
        <f t="shared" si="8"/>
        <v>10</v>
      </c>
      <c r="F255" t="s">
        <v>42</v>
      </c>
      <c r="G255" t="s">
        <v>42</v>
      </c>
      <c r="H255" t="s">
        <v>42</v>
      </c>
      <c r="I255" t="s">
        <v>42</v>
      </c>
      <c r="J255" t="s">
        <v>42</v>
      </c>
      <c r="K255" t="s">
        <v>42</v>
      </c>
      <c r="L255" t="s">
        <v>42</v>
      </c>
      <c r="M255" t="s">
        <v>42</v>
      </c>
      <c r="N255" t="s">
        <v>122</v>
      </c>
    </row>
    <row r="256" spans="1:14" x14ac:dyDescent="0.25">
      <c r="A256" t="s">
        <v>37</v>
      </c>
      <c r="B256" s="5" t="s">
        <v>20</v>
      </c>
      <c r="C256" t="s">
        <v>121</v>
      </c>
      <c r="D256">
        <v>16.5</v>
      </c>
      <c r="E256">
        <f t="shared" si="8"/>
        <v>16.5</v>
      </c>
      <c r="F256" t="s">
        <v>42</v>
      </c>
      <c r="G256" t="s">
        <v>42</v>
      </c>
      <c r="H256" t="s">
        <v>42</v>
      </c>
      <c r="I256" t="s">
        <v>42</v>
      </c>
      <c r="J256" t="s">
        <v>42</v>
      </c>
      <c r="K256" t="s">
        <v>42</v>
      </c>
      <c r="L256" t="s">
        <v>42</v>
      </c>
      <c r="M256" t="s">
        <v>42</v>
      </c>
      <c r="N256" t="s">
        <v>122</v>
      </c>
    </row>
    <row r="257" spans="1:14" x14ac:dyDescent="0.25">
      <c r="A257" t="s">
        <v>37</v>
      </c>
      <c r="B257" s="5" t="s">
        <v>20</v>
      </c>
      <c r="C257" t="s">
        <v>121</v>
      </c>
      <c r="D257">
        <v>14.2</v>
      </c>
      <c r="E257">
        <f t="shared" ref="E257:E276" si="9">D257</f>
        <v>14.2</v>
      </c>
      <c r="F257" t="s">
        <v>42</v>
      </c>
      <c r="G257" t="s">
        <v>42</v>
      </c>
      <c r="H257" t="s">
        <v>42</v>
      </c>
      <c r="I257" t="s">
        <v>42</v>
      </c>
      <c r="J257" t="s">
        <v>42</v>
      </c>
      <c r="K257" t="s">
        <v>42</v>
      </c>
      <c r="L257" t="s">
        <v>42</v>
      </c>
      <c r="M257" t="s">
        <v>42</v>
      </c>
      <c r="N257" t="s">
        <v>122</v>
      </c>
    </row>
    <row r="258" spans="1:14" x14ac:dyDescent="0.25">
      <c r="A258" t="s">
        <v>37</v>
      </c>
      <c r="B258" s="5" t="s">
        <v>20</v>
      </c>
      <c r="C258" t="s">
        <v>121</v>
      </c>
      <c r="D258">
        <v>9.5</v>
      </c>
      <c r="E258">
        <f t="shared" si="9"/>
        <v>9.5</v>
      </c>
      <c r="F258" t="s">
        <v>42</v>
      </c>
      <c r="G258" t="s">
        <v>42</v>
      </c>
      <c r="H258" t="s">
        <v>42</v>
      </c>
      <c r="I258" t="s">
        <v>42</v>
      </c>
      <c r="J258" t="s">
        <v>42</v>
      </c>
      <c r="K258" t="s">
        <v>42</v>
      </c>
      <c r="L258" t="s">
        <v>42</v>
      </c>
      <c r="M258" t="s">
        <v>42</v>
      </c>
      <c r="N258" t="s">
        <v>122</v>
      </c>
    </row>
    <row r="259" spans="1:14" x14ac:dyDescent="0.25">
      <c r="A259" t="s">
        <v>37</v>
      </c>
      <c r="B259" s="5" t="s">
        <v>20</v>
      </c>
      <c r="C259" t="s">
        <v>121</v>
      </c>
      <c r="D259">
        <v>13.5</v>
      </c>
      <c r="E259">
        <f t="shared" si="9"/>
        <v>13.5</v>
      </c>
      <c r="F259" t="s">
        <v>42</v>
      </c>
      <c r="G259" t="s">
        <v>42</v>
      </c>
      <c r="H259" t="s">
        <v>42</v>
      </c>
      <c r="I259" t="s">
        <v>42</v>
      </c>
      <c r="J259" t="s">
        <v>42</v>
      </c>
      <c r="K259" t="s">
        <v>42</v>
      </c>
      <c r="L259" t="s">
        <v>42</v>
      </c>
      <c r="M259" t="s">
        <v>42</v>
      </c>
      <c r="N259" t="s">
        <v>122</v>
      </c>
    </row>
    <row r="260" spans="1:14" x14ac:dyDescent="0.25">
      <c r="A260" t="s">
        <v>37</v>
      </c>
      <c r="B260" s="5" t="s">
        <v>20</v>
      </c>
      <c r="C260" t="s">
        <v>121</v>
      </c>
      <c r="D260">
        <v>7.6</v>
      </c>
      <c r="E260">
        <f t="shared" si="9"/>
        <v>7.6</v>
      </c>
      <c r="F260" t="s">
        <v>42</v>
      </c>
      <c r="G260" t="s">
        <v>42</v>
      </c>
      <c r="H260" t="s">
        <v>42</v>
      </c>
      <c r="I260" t="s">
        <v>42</v>
      </c>
      <c r="J260" t="s">
        <v>42</v>
      </c>
      <c r="K260" t="s">
        <v>42</v>
      </c>
      <c r="L260" t="s">
        <v>42</v>
      </c>
      <c r="M260" t="s">
        <v>42</v>
      </c>
      <c r="N260" t="s">
        <v>122</v>
      </c>
    </row>
    <row r="261" spans="1:14" x14ac:dyDescent="0.25">
      <c r="A261" t="s">
        <v>37</v>
      </c>
      <c r="B261" s="5" t="s">
        <v>20</v>
      </c>
      <c r="C261" t="s">
        <v>121</v>
      </c>
      <c r="D261">
        <v>1.3</v>
      </c>
      <c r="E261">
        <f t="shared" si="9"/>
        <v>1.3</v>
      </c>
      <c r="F261" t="s">
        <v>42</v>
      </c>
      <c r="G261" t="s">
        <v>42</v>
      </c>
      <c r="H261" t="s">
        <v>42</v>
      </c>
      <c r="I261" t="s">
        <v>42</v>
      </c>
      <c r="J261" t="s">
        <v>42</v>
      </c>
      <c r="K261" t="s">
        <v>42</v>
      </c>
      <c r="L261" t="s">
        <v>42</v>
      </c>
      <c r="M261" t="s">
        <v>42</v>
      </c>
      <c r="N261" t="s">
        <v>122</v>
      </c>
    </row>
    <row r="262" spans="1:14" x14ac:dyDescent="0.25">
      <c r="A262" t="s">
        <v>37</v>
      </c>
      <c r="B262" s="5" t="s">
        <v>20</v>
      </c>
      <c r="C262" t="s">
        <v>121</v>
      </c>
      <c r="D262">
        <v>8.9</v>
      </c>
      <c r="E262">
        <f t="shared" si="9"/>
        <v>8.9</v>
      </c>
      <c r="F262" t="s">
        <v>42</v>
      </c>
      <c r="G262" t="s">
        <v>42</v>
      </c>
      <c r="H262" t="s">
        <v>42</v>
      </c>
      <c r="I262" t="s">
        <v>42</v>
      </c>
      <c r="J262" t="s">
        <v>42</v>
      </c>
      <c r="K262" t="s">
        <v>42</v>
      </c>
      <c r="L262" t="s">
        <v>42</v>
      </c>
      <c r="M262" t="s">
        <v>42</v>
      </c>
      <c r="N262" t="s">
        <v>122</v>
      </c>
    </row>
    <row r="263" spans="1:14" x14ac:dyDescent="0.25">
      <c r="A263" t="s">
        <v>37</v>
      </c>
      <c r="B263" s="5" t="s">
        <v>20</v>
      </c>
      <c r="C263" t="s">
        <v>121</v>
      </c>
      <c r="D263">
        <v>15</v>
      </c>
      <c r="E263">
        <f t="shared" si="9"/>
        <v>15</v>
      </c>
      <c r="F263" t="s">
        <v>42</v>
      </c>
      <c r="G263" t="s">
        <v>42</v>
      </c>
      <c r="H263" t="s">
        <v>42</v>
      </c>
      <c r="I263" t="s">
        <v>42</v>
      </c>
      <c r="J263" t="s">
        <v>42</v>
      </c>
      <c r="K263" t="s">
        <v>42</v>
      </c>
      <c r="L263" t="s">
        <v>42</v>
      </c>
      <c r="M263" t="s">
        <v>42</v>
      </c>
      <c r="N263" t="s">
        <v>122</v>
      </c>
    </row>
    <row r="264" spans="1:14" x14ac:dyDescent="0.25">
      <c r="A264" t="s">
        <v>37</v>
      </c>
      <c r="B264" s="5" t="s">
        <v>20</v>
      </c>
      <c r="C264" t="s">
        <v>121</v>
      </c>
      <c r="D264">
        <v>20</v>
      </c>
      <c r="E264">
        <f t="shared" si="9"/>
        <v>20</v>
      </c>
      <c r="F264" t="s">
        <v>42</v>
      </c>
      <c r="G264" t="s">
        <v>42</v>
      </c>
      <c r="H264" t="s">
        <v>42</v>
      </c>
      <c r="I264" t="s">
        <v>42</v>
      </c>
      <c r="J264" t="s">
        <v>42</v>
      </c>
      <c r="K264" t="s">
        <v>42</v>
      </c>
      <c r="L264" t="s">
        <v>42</v>
      </c>
      <c r="M264" t="s">
        <v>42</v>
      </c>
      <c r="N264" t="s">
        <v>122</v>
      </c>
    </row>
    <row r="265" spans="1:14" x14ac:dyDescent="0.25">
      <c r="A265" t="s">
        <v>37</v>
      </c>
      <c r="B265" s="5" t="s">
        <v>20</v>
      </c>
      <c r="C265" t="s">
        <v>121</v>
      </c>
      <c r="D265">
        <v>7.3</v>
      </c>
      <c r="E265">
        <f t="shared" si="9"/>
        <v>7.3</v>
      </c>
      <c r="F265" t="s">
        <v>42</v>
      </c>
      <c r="G265" t="s">
        <v>42</v>
      </c>
      <c r="H265" t="s">
        <v>42</v>
      </c>
      <c r="I265" t="s">
        <v>42</v>
      </c>
      <c r="J265" t="s">
        <v>42</v>
      </c>
      <c r="K265" t="s">
        <v>42</v>
      </c>
      <c r="L265" t="s">
        <v>42</v>
      </c>
      <c r="M265" t="s">
        <v>42</v>
      </c>
      <c r="N265" t="s">
        <v>122</v>
      </c>
    </row>
    <row r="266" spans="1:14" x14ac:dyDescent="0.25">
      <c r="A266" t="s">
        <v>37</v>
      </c>
      <c r="B266" s="5" t="s">
        <v>20</v>
      </c>
      <c r="C266" t="s">
        <v>121</v>
      </c>
      <c r="D266">
        <v>15.2</v>
      </c>
      <c r="E266">
        <f t="shared" si="9"/>
        <v>15.2</v>
      </c>
      <c r="F266" t="s">
        <v>42</v>
      </c>
      <c r="G266" t="s">
        <v>42</v>
      </c>
      <c r="H266" t="s">
        <v>42</v>
      </c>
      <c r="I266" t="s">
        <v>42</v>
      </c>
      <c r="J266" t="s">
        <v>42</v>
      </c>
      <c r="K266" t="s">
        <v>42</v>
      </c>
      <c r="L266" t="s">
        <v>42</v>
      </c>
      <c r="M266" t="s">
        <v>42</v>
      </c>
      <c r="N266" t="s">
        <v>122</v>
      </c>
    </row>
    <row r="267" spans="1:14" x14ac:dyDescent="0.25">
      <c r="A267" t="s">
        <v>37</v>
      </c>
      <c r="B267" s="5" t="s">
        <v>20</v>
      </c>
      <c r="C267" t="s">
        <v>121</v>
      </c>
      <c r="D267">
        <v>23.3</v>
      </c>
      <c r="E267">
        <f t="shared" si="9"/>
        <v>23.3</v>
      </c>
      <c r="F267" t="s">
        <v>42</v>
      </c>
      <c r="G267" t="s">
        <v>42</v>
      </c>
      <c r="H267" t="s">
        <v>42</v>
      </c>
      <c r="I267" t="s">
        <v>42</v>
      </c>
      <c r="J267" t="s">
        <v>42</v>
      </c>
      <c r="K267" t="s">
        <v>42</v>
      </c>
      <c r="L267" t="s">
        <v>42</v>
      </c>
      <c r="M267" t="s">
        <v>42</v>
      </c>
      <c r="N267" t="s">
        <v>122</v>
      </c>
    </row>
    <row r="268" spans="1:14" x14ac:dyDescent="0.25">
      <c r="A268" t="s">
        <v>37</v>
      </c>
      <c r="B268" s="5" t="s">
        <v>20</v>
      </c>
      <c r="C268" t="s">
        <v>121</v>
      </c>
      <c r="D268">
        <v>20.3</v>
      </c>
      <c r="E268">
        <f t="shared" si="9"/>
        <v>20.3</v>
      </c>
      <c r="F268" t="s">
        <v>42</v>
      </c>
      <c r="G268" t="s">
        <v>42</v>
      </c>
      <c r="H268" t="s">
        <v>42</v>
      </c>
      <c r="I268" t="s">
        <v>42</v>
      </c>
      <c r="J268" t="s">
        <v>42</v>
      </c>
      <c r="K268" t="s">
        <v>42</v>
      </c>
      <c r="L268" t="s">
        <v>42</v>
      </c>
      <c r="M268" t="s">
        <v>42</v>
      </c>
      <c r="N268" t="s">
        <v>122</v>
      </c>
    </row>
    <row r="269" spans="1:14" x14ac:dyDescent="0.25">
      <c r="A269" t="s">
        <v>37</v>
      </c>
      <c r="B269" s="5" t="s">
        <v>20</v>
      </c>
      <c r="C269" t="s">
        <v>121</v>
      </c>
      <c r="D269">
        <v>17.100000000000001</v>
      </c>
      <c r="E269">
        <f t="shared" si="9"/>
        <v>17.100000000000001</v>
      </c>
      <c r="F269" t="s">
        <v>42</v>
      </c>
      <c r="G269" t="s">
        <v>42</v>
      </c>
      <c r="H269" t="s">
        <v>42</v>
      </c>
      <c r="I269" t="s">
        <v>42</v>
      </c>
      <c r="J269" t="s">
        <v>42</v>
      </c>
      <c r="K269" t="s">
        <v>42</v>
      </c>
      <c r="L269" t="s">
        <v>42</v>
      </c>
      <c r="M269" t="s">
        <v>42</v>
      </c>
      <c r="N269" t="s">
        <v>122</v>
      </c>
    </row>
    <row r="270" spans="1:14" x14ac:dyDescent="0.25">
      <c r="A270" t="s">
        <v>37</v>
      </c>
      <c r="B270" s="5" t="s">
        <v>20</v>
      </c>
      <c r="C270" t="s">
        <v>121</v>
      </c>
      <c r="D270">
        <v>21.6</v>
      </c>
      <c r="E270">
        <f t="shared" si="9"/>
        <v>21.6</v>
      </c>
      <c r="F270" t="s">
        <v>42</v>
      </c>
      <c r="G270" t="s">
        <v>42</v>
      </c>
      <c r="H270" t="s">
        <v>42</v>
      </c>
      <c r="I270" t="s">
        <v>42</v>
      </c>
      <c r="J270" t="s">
        <v>42</v>
      </c>
      <c r="K270" t="s">
        <v>42</v>
      </c>
      <c r="L270" t="s">
        <v>42</v>
      </c>
      <c r="M270" t="s">
        <v>42</v>
      </c>
      <c r="N270" t="s">
        <v>122</v>
      </c>
    </row>
    <row r="271" spans="1:14" x14ac:dyDescent="0.25">
      <c r="A271" t="s">
        <v>37</v>
      </c>
      <c r="B271" s="5" t="s">
        <v>20</v>
      </c>
      <c r="C271" t="s">
        <v>121</v>
      </c>
      <c r="D271">
        <v>19.8</v>
      </c>
      <c r="E271">
        <f t="shared" si="9"/>
        <v>19.8</v>
      </c>
      <c r="F271" t="s">
        <v>42</v>
      </c>
      <c r="G271" t="s">
        <v>42</v>
      </c>
      <c r="H271" t="s">
        <v>42</v>
      </c>
      <c r="I271" t="s">
        <v>42</v>
      </c>
      <c r="J271" t="s">
        <v>42</v>
      </c>
      <c r="K271" t="s">
        <v>42</v>
      </c>
      <c r="L271" t="s">
        <v>42</v>
      </c>
      <c r="M271" t="s">
        <v>42</v>
      </c>
      <c r="N271" t="s">
        <v>122</v>
      </c>
    </row>
    <row r="272" spans="1:14" x14ac:dyDescent="0.25">
      <c r="A272" t="s">
        <v>37</v>
      </c>
      <c r="B272" s="5" t="s">
        <v>20</v>
      </c>
      <c r="C272" t="s">
        <v>121</v>
      </c>
      <c r="D272">
        <v>17.899999999999999</v>
      </c>
      <c r="E272">
        <f t="shared" si="9"/>
        <v>17.899999999999999</v>
      </c>
      <c r="F272" t="s">
        <v>42</v>
      </c>
      <c r="G272" t="s">
        <v>42</v>
      </c>
      <c r="H272" t="s">
        <v>42</v>
      </c>
      <c r="I272" t="s">
        <v>42</v>
      </c>
      <c r="J272" t="s">
        <v>42</v>
      </c>
      <c r="K272" t="s">
        <v>42</v>
      </c>
      <c r="L272" t="s">
        <v>42</v>
      </c>
      <c r="M272" t="s">
        <v>42</v>
      </c>
      <c r="N272" t="s">
        <v>122</v>
      </c>
    </row>
    <row r="273" spans="1:14" x14ac:dyDescent="0.25">
      <c r="A273" t="s">
        <v>37</v>
      </c>
      <c r="B273" s="5" t="s">
        <v>20</v>
      </c>
      <c r="C273" t="s">
        <v>121</v>
      </c>
      <c r="D273">
        <v>9.6999999999999993</v>
      </c>
      <c r="E273">
        <f t="shared" si="9"/>
        <v>9.6999999999999993</v>
      </c>
      <c r="F273" t="s">
        <v>42</v>
      </c>
      <c r="G273" t="s">
        <v>42</v>
      </c>
      <c r="H273" t="s">
        <v>42</v>
      </c>
      <c r="I273" t="s">
        <v>42</v>
      </c>
      <c r="J273" t="s">
        <v>42</v>
      </c>
      <c r="K273" t="s">
        <v>42</v>
      </c>
      <c r="L273" t="s">
        <v>42</v>
      </c>
      <c r="M273" t="s">
        <v>42</v>
      </c>
      <c r="N273" t="s">
        <v>122</v>
      </c>
    </row>
    <row r="274" spans="1:14" x14ac:dyDescent="0.25">
      <c r="A274" t="s">
        <v>37</v>
      </c>
      <c r="B274" s="5" t="s">
        <v>20</v>
      </c>
      <c r="C274" t="s">
        <v>121</v>
      </c>
      <c r="D274">
        <v>18.899999999999999</v>
      </c>
      <c r="E274">
        <f t="shared" si="9"/>
        <v>18.899999999999999</v>
      </c>
      <c r="F274" t="s">
        <v>42</v>
      </c>
      <c r="G274" t="s">
        <v>42</v>
      </c>
      <c r="H274" t="s">
        <v>42</v>
      </c>
      <c r="I274" t="s">
        <v>42</v>
      </c>
      <c r="J274" t="s">
        <v>42</v>
      </c>
      <c r="K274" t="s">
        <v>42</v>
      </c>
      <c r="L274" t="s">
        <v>42</v>
      </c>
      <c r="M274" t="s">
        <v>42</v>
      </c>
      <c r="N274" t="s">
        <v>122</v>
      </c>
    </row>
    <row r="275" spans="1:14" x14ac:dyDescent="0.25">
      <c r="A275" t="s">
        <v>37</v>
      </c>
      <c r="B275" s="5" t="s">
        <v>20</v>
      </c>
      <c r="C275" t="s">
        <v>121</v>
      </c>
      <c r="D275">
        <v>10.9</v>
      </c>
      <c r="E275">
        <f t="shared" si="9"/>
        <v>10.9</v>
      </c>
      <c r="F275" t="s">
        <v>42</v>
      </c>
      <c r="G275" t="s">
        <v>42</v>
      </c>
      <c r="H275" t="s">
        <v>42</v>
      </c>
      <c r="I275" t="s">
        <v>42</v>
      </c>
      <c r="J275" t="s">
        <v>42</v>
      </c>
      <c r="K275" t="s">
        <v>42</v>
      </c>
      <c r="L275" t="s">
        <v>42</v>
      </c>
      <c r="M275" t="s">
        <v>42</v>
      </c>
      <c r="N275" t="s">
        <v>122</v>
      </c>
    </row>
    <row r="276" spans="1:14" x14ac:dyDescent="0.25">
      <c r="A276" t="s">
        <v>37</v>
      </c>
      <c r="B276" s="5" t="s">
        <v>20</v>
      </c>
      <c r="C276" t="s">
        <v>121</v>
      </c>
      <c r="D276">
        <v>19.600000000000001</v>
      </c>
      <c r="E276">
        <f t="shared" si="9"/>
        <v>19.600000000000001</v>
      </c>
      <c r="F276" t="s">
        <v>42</v>
      </c>
      <c r="G276" t="s">
        <v>42</v>
      </c>
      <c r="H276" t="s">
        <v>42</v>
      </c>
      <c r="I276" t="s">
        <v>42</v>
      </c>
      <c r="J276" t="s">
        <v>42</v>
      </c>
      <c r="K276" t="s">
        <v>42</v>
      </c>
      <c r="L276" t="s">
        <v>42</v>
      </c>
      <c r="M276" t="s">
        <v>42</v>
      </c>
      <c r="N276" t="s">
        <v>122</v>
      </c>
    </row>
    <row r="277" spans="1:14" x14ac:dyDescent="0.25">
      <c r="A277" t="s">
        <v>37</v>
      </c>
      <c r="B277" s="5" t="s">
        <v>20</v>
      </c>
      <c r="C277" t="s">
        <v>121</v>
      </c>
      <c r="D277">
        <f>14+8.8</f>
        <v>22.8</v>
      </c>
      <c r="E277">
        <v>14</v>
      </c>
      <c r="F277">
        <v>8.8000000000000007</v>
      </c>
      <c r="G277" t="s">
        <v>42</v>
      </c>
      <c r="H277" t="s">
        <v>42</v>
      </c>
      <c r="I277" t="s">
        <v>42</v>
      </c>
      <c r="J277" t="s">
        <v>42</v>
      </c>
      <c r="K277" t="s">
        <v>42</v>
      </c>
      <c r="L277" t="s">
        <v>42</v>
      </c>
      <c r="M277" t="s">
        <v>124</v>
      </c>
      <c r="N277" t="s">
        <v>122</v>
      </c>
    </row>
    <row r="278" spans="1:14" x14ac:dyDescent="0.25">
      <c r="A278" t="s">
        <v>37</v>
      </c>
      <c r="B278" s="5" t="s">
        <v>20</v>
      </c>
      <c r="C278" t="s">
        <v>121</v>
      </c>
      <c r="D278">
        <v>19</v>
      </c>
      <c r="E278">
        <f t="shared" ref="E278:E341" si="10">D278</f>
        <v>19</v>
      </c>
      <c r="F278" t="s">
        <v>42</v>
      </c>
      <c r="G278" t="s">
        <v>42</v>
      </c>
      <c r="H278" t="s">
        <v>42</v>
      </c>
      <c r="I278" t="s">
        <v>42</v>
      </c>
      <c r="J278" t="s">
        <v>42</v>
      </c>
      <c r="K278" t="s">
        <v>42</v>
      </c>
      <c r="L278" t="s">
        <v>42</v>
      </c>
      <c r="M278" t="s">
        <v>42</v>
      </c>
      <c r="N278" t="s">
        <v>122</v>
      </c>
    </row>
    <row r="279" spans="1:14" x14ac:dyDescent="0.25">
      <c r="A279" t="s">
        <v>37</v>
      </c>
      <c r="B279" s="5" t="s">
        <v>20</v>
      </c>
      <c r="C279" t="s">
        <v>121</v>
      </c>
      <c r="D279">
        <v>17.8</v>
      </c>
      <c r="E279">
        <f t="shared" si="10"/>
        <v>17.8</v>
      </c>
      <c r="F279" t="s">
        <v>42</v>
      </c>
      <c r="G279" t="s">
        <v>42</v>
      </c>
      <c r="H279" t="s">
        <v>42</v>
      </c>
      <c r="I279" t="s">
        <v>42</v>
      </c>
      <c r="J279" t="s">
        <v>42</v>
      </c>
      <c r="K279" t="s">
        <v>42</v>
      </c>
      <c r="L279" t="s">
        <v>42</v>
      </c>
      <c r="M279" t="s">
        <v>42</v>
      </c>
      <c r="N279" t="s">
        <v>122</v>
      </c>
    </row>
    <row r="280" spans="1:14" x14ac:dyDescent="0.25">
      <c r="A280" t="s">
        <v>39</v>
      </c>
      <c r="B280" s="5" t="s">
        <v>20</v>
      </c>
      <c r="C280" t="s">
        <v>121</v>
      </c>
      <c r="D280">
        <v>14</v>
      </c>
      <c r="E280">
        <f t="shared" si="10"/>
        <v>14</v>
      </c>
      <c r="F280" t="s">
        <v>42</v>
      </c>
      <c r="G280" t="s">
        <v>42</v>
      </c>
      <c r="H280" t="s">
        <v>42</v>
      </c>
      <c r="I280" t="s">
        <v>42</v>
      </c>
      <c r="J280" t="s">
        <v>42</v>
      </c>
      <c r="K280" t="s">
        <v>42</v>
      </c>
      <c r="L280" t="s">
        <v>42</v>
      </c>
      <c r="M280" t="s">
        <v>42</v>
      </c>
      <c r="N280" t="s">
        <v>122</v>
      </c>
    </row>
    <row r="281" spans="1:14" x14ac:dyDescent="0.25">
      <c r="A281" t="s">
        <v>39</v>
      </c>
      <c r="B281" s="5" t="s">
        <v>20</v>
      </c>
      <c r="C281" t="s">
        <v>121</v>
      </c>
      <c r="D281">
        <v>11.6</v>
      </c>
      <c r="E281">
        <f t="shared" si="10"/>
        <v>11.6</v>
      </c>
      <c r="F281" t="s">
        <v>42</v>
      </c>
      <c r="G281" t="s">
        <v>42</v>
      </c>
      <c r="H281" t="s">
        <v>42</v>
      </c>
      <c r="I281" t="s">
        <v>42</v>
      </c>
      <c r="J281" t="s">
        <v>42</v>
      </c>
      <c r="K281" t="s">
        <v>42</v>
      </c>
      <c r="L281" t="s">
        <v>42</v>
      </c>
      <c r="M281" t="s">
        <v>42</v>
      </c>
      <c r="N281" t="s">
        <v>122</v>
      </c>
    </row>
    <row r="282" spans="1:14" x14ac:dyDescent="0.25">
      <c r="A282" t="s">
        <v>39</v>
      </c>
      <c r="B282" s="5" t="s">
        <v>20</v>
      </c>
      <c r="C282" t="s">
        <v>121</v>
      </c>
      <c r="D282">
        <v>11.3</v>
      </c>
      <c r="E282">
        <f t="shared" si="10"/>
        <v>11.3</v>
      </c>
      <c r="F282" t="s">
        <v>42</v>
      </c>
      <c r="G282" t="s">
        <v>42</v>
      </c>
      <c r="H282" t="s">
        <v>42</v>
      </c>
      <c r="I282" t="s">
        <v>42</v>
      </c>
      <c r="J282" t="s">
        <v>42</v>
      </c>
      <c r="K282" t="s">
        <v>42</v>
      </c>
      <c r="L282" t="s">
        <v>42</v>
      </c>
      <c r="M282" t="s">
        <v>42</v>
      </c>
      <c r="N282" t="s">
        <v>122</v>
      </c>
    </row>
    <row r="283" spans="1:14" x14ac:dyDescent="0.25">
      <c r="A283" t="s">
        <v>39</v>
      </c>
      <c r="B283" s="5" t="s">
        <v>20</v>
      </c>
      <c r="C283" t="s">
        <v>121</v>
      </c>
      <c r="D283">
        <v>10.3</v>
      </c>
      <c r="E283">
        <f t="shared" si="10"/>
        <v>10.3</v>
      </c>
      <c r="F283" t="s">
        <v>42</v>
      </c>
      <c r="G283" t="s">
        <v>42</v>
      </c>
      <c r="H283" t="s">
        <v>42</v>
      </c>
      <c r="I283" t="s">
        <v>42</v>
      </c>
      <c r="J283" t="s">
        <v>42</v>
      </c>
      <c r="K283" t="s">
        <v>42</v>
      </c>
      <c r="L283" t="s">
        <v>42</v>
      </c>
      <c r="M283" t="s">
        <v>42</v>
      </c>
      <c r="N283" t="s">
        <v>122</v>
      </c>
    </row>
    <row r="284" spans="1:14" x14ac:dyDescent="0.25">
      <c r="A284" t="s">
        <v>39</v>
      </c>
      <c r="B284" s="5" t="s">
        <v>20</v>
      </c>
      <c r="C284" t="s">
        <v>121</v>
      </c>
      <c r="D284">
        <v>11.1</v>
      </c>
      <c r="E284">
        <f t="shared" si="10"/>
        <v>11.1</v>
      </c>
      <c r="F284" t="s">
        <v>42</v>
      </c>
      <c r="G284" t="s">
        <v>42</v>
      </c>
      <c r="H284" t="s">
        <v>42</v>
      </c>
      <c r="I284" t="s">
        <v>42</v>
      </c>
      <c r="J284" t="s">
        <v>42</v>
      </c>
      <c r="K284" t="s">
        <v>42</v>
      </c>
      <c r="L284" t="s">
        <v>42</v>
      </c>
      <c r="M284" t="s">
        <v>42</v>
      </c>
      <c r="N284" t="s">
        <v>122</v>
      </c>
    </row>
    <row r="285" spans="1:14" x14ac:dyDescent="0.25">
      <c r="A285" t="s">
        <v>39</v>
      </c>
      <c r="B285" s="5" t="s">
        <v>20</v>
      </c>
      <c r="C285" t="s">
        <v>121</v>
      </c>
      <c r="D285">
        <v>11.9</v>
      </c>
      <c r="E285">
        <f t="shared" si="10"/>
        <v>11.9</v>
      </c>
      <c r="F285" t="s">
        <v>42</v>
      </c>
      <c r="G285" t="s">
        <v>42</v>
      </c>
      <c r="H285" t="s">
        <v>42</v>
      </c>
      <c r="I285" t="s">
        <v>42</v>
      </c>
      <c r="J285" t="s">
        <v>42</v>
      </c>
      <c r="K285" t="s">
        <v>42</v>
      </c>
      <c r="L285" t="s">
        <v>42</v>
      </c>
      <c r="M285" t="s">
        <v>42</v>
      </c>
      <c r="N285" t="s">
        <v>122</v>
      </c>
    </row>
    <row r="286" spans="1:14" x14ac:dyDescent="0.25">
      <c r="A286" t="s">
        <v>39</v>
      </c>
      <c r="B286" s="5" t="s">
        <v>20</v>
      </c>
      <c r="C286" t="s">
        <v>121</v>
      </c>
      <c r="D286">
        <v>12</v>
      </c>
      <c r="E286">
        <f t="shared" si="10"/>
        <v>12</v>
      </c>
      <c r="F286" t="s">
        <v>42</v>
      </c>
      <c r="G286" t="s">
        <v>42</v>
      </c>
      <c r="H286" t="s">
        <v>42</v>
      </c>
      <c r="I286" t="s">
        <v>42</v>
      </c>
      <c r="J286" t="s">
        <v>42</v>
      </c>
      <c r="K286" t="s">
        <v>42</v>
      </c>
      <c r="L286" t="s">
        <v>42</v>
      </c>
      <c r="M286" t="s">
        <v>42</v>
      </c>
      <c r="N286" t="s">
        <v>122</v>
      </c>
    </row>
    <row r="287" spans="1:14" x14ac:dyDescent="0.25">
      <c r="A287" t="s">
        <v>39</v>
      </c>
      <c r="B287" s="5" t="s">
        <v>20</v>
      </c>
      <c r="C287" t="s">
        <v>121</v>
      </c>
      <c r="D287">
        <v>11.4</v>
      </c>
      <c r="E287">
        <f t="shared" si="10"/>
        <v>11.4</v>
      </c>
      <c r="F287" t="s">
        <v>42</v>
      </c>
      <c r="G287" t="s">
        <v>42</v>
      </c>
      <c r="H287" t="s">
        <v>42</v>
      </c>
      <c r="I287" t="s">
        <v>42</v>
      </c>
      <c r="J287" t="s">
        <v>42</v>
      </c>
      <c r="K287" t="s">
        <v>42</v>
      </c>
      <c r="L287" t="s">
        <v>42</v>
      </c>
      <c r="M287" t="s">
        <v>42</v>
      </c>
      <c r="N287" t="s">
        <v>122</v>
      </c>
    </row>
    <row r="288" spans="1:14" x14ac:dyDescent="0.25">
      <c r="A288" t="s">
        <v>39</v>
      </c>
      <c r="B288" s="5" t="s">
        <v>20</v>
      </c>
      <c r="C288" t="s">
        <v>121</v>
      </c>
      <c r="D288">
        <v>11.5</v>
      </c>
      <c r="E288">
        <f t="shared" si="10"/>
        <v>11.5</v>
      </c>
      <c r="F288" t="s">
        <v>42</v>
      </c>
      <c r="G288" t="s">
        <v>42</v>
      </c>
      <c r="H288" t="s">
        <v>42</v>
      </c>
      <c r="I288" t="s">
        <v>42</v>
      </c>
      <c r="J288" t="s">
        <v>42</v>
      </c>
      <c r="K288" t="s">
        <v>42</v>
      </c>
      <c r="L288" t="s">
        <v>42</v>
      </c>
      <c r="M288" t="s">
        <v>42</v>
      </c>
      <c r="N288" t="s">
        <v>122</v>
      </c>
    </row>
    <row r="289" spans="1:14" x14ac:dyDescent="0.25">
      <c r="A289" t="s">
        <v>39</v>
      </c>
      <c r="B289" s="5" t="s">
        <v>20</v>
      </c>
      <c r="C289" t="s">
        <v>121</v>
      </c>
      <c r="D289">
        <v>17.7</v>
      </c>
      <c r="E289">
        <f t="shared" si="10"/>
        <v>17.7</v>
      </c>
      <c r="F289" t="s">
        <v>42</v>
      </c>
      <c r="G289" t="s">
        <v>42</v>
      </c>
      <c r="H289" t="s">
        <v>42</v>
      </c>
      <c r="I289" t="s">
        <v>42</v>
      </c>
      <c r="J289" t="s">
        <v>42</v>
      </c>
      <c r="K289" t="s">
        <v>42</v>
      </c>
      <c r="L289" t="s">
        <v>42</v>
      </c>
      <c r="M289" t="s">
        <v>42</v>
      </c>
      <c r="N289" t="s">
        <v>122</v>
      </c>
    </row>
    <row r="290" spans="1:14" x14ac:dyDescent="0.25">
      <c r="A290" t="s">
        <v>39</v>
      </c>
      <c r="B290" s="5" t="s">
        <v>20</v>
      </c>
      <c r="C290" t="s">
        <v>121</v>
      </c>
      <c r="D290">
        <v>11.6</v>
      </c>
      <c r="E290">
        <f t="shared" si="10"/>
        <v>11.6</v>
      </c>
      <c r="F290" t="s">
        <v>42</v>
      </c>
      <c r="G290" t="s">
        <v>42</v>
      </c>
      <c r="H290" t="s">
        <v>42</v>
      </c>
      <c r="I290" t="s">
        <v>42</v>
      </c>
      <c r="J290" t="s">
        <v>42</v>
      </c>
      <c r="K290" t="s">
        <v>42</v>
      </c>
      <c r="L290" t="s">
        <v>42</v>
      </c>
      <c r="M290" t="s">
        <v>42</v>
      </c>
      <c r="N290" t="s">
        <v>122</v>
      </c>
    </row>
    <row r="291" spans="1:14" x14ac:dyDescent="0.25">
      <c r="A291" t="s">
        <v>39</v>
      </c>
      <c r="B291" s="5" t="s">
        <v>20</v>
      </c>
      <c r="C291" t="s">
        <v>121</v>
      </c>
      <c r="D291">
        <v>12.9</v>
      </c>
      <c r="E291">
        <f t="shared" si="10"/>
        <v>12.9</v>
      </c>
      <c r="F291" t="s">
        <v>42</v>
      </c>
      <c r="G291" t="s">
        <v>42</v>
      </c>
      <c r="H291" t="s">
        <v>42</v>
      </c>
      <c r="I291" t="s">
        <v>42</v>
      </c>
      <c r="J291" t="s">
        <v>42</v>
      </c>
      <c r="K291" t="s">
        <v>42</v>
      </c>
      <c r="L291" t="s">
        <v>42</v>
      </c>
      <c r="M291" t="s">
        <v>42</v>
      </c>
      <c r="N291" t="s">
        <v>122</v>
      </c>
    </row>
    <row r="292" spans="1:14" x14ac:dyDescent="0.25">
      <c r="A292" t="s">
        <v>39</v>
      </c>
      <c r="B292" s="5" t="s">
        <v>20</v>
      </c>
      <c r="C292" t="s">
        <v>121</v>
      </c>
      <c r="D292">
        <v>11.6</v>
      </c>
      <c r="E292">
        <f t="shared" si="10"/>
        <v>11.6</v>
      </c>
      <c r="F292" t="s">
        <v>42</v>
      </c>
      <c r="G292" t="s">
        <v>42</v>
      </c>
      <c r="H292" t="s">
        <v>42</v>
      </c>
      <c r="I292" t="s">
        <v>42</v>
      </c>
      <c r="J292" t="s">
        <v>42</v>
      </c>
      <c r="K292" t="s">
        <v>42</v>
      </c>
      <c r="L292" t="s">
        <v>42</v>
      </c>
      <c r="M292" t="s">
        <v>42</v>
      </c>
      <c r="N292" t="s">
        <v>122</v>
      </c>
    </row>
    <row r="293" spans="1:14" x14ac:dyDescent="0.25">
      <c r="A293" t="s">
        <v>39</v>
      </c>
      <c r="B293" s="5" t="s">
        <v>20</v>
      </c>
      <c r="C293" t="s">
        <v>121</v>
      </c>
      <c r="D293">
        <v>19.899999999999999</v>
      </c>
      <c r="E293">
        <f t="shared" si="10"/>
        <v>19.899999999999999</v>
      </c>
      <c r="F293" t="s">
        <v>42</v>
      </c>
      <c r="G293" t="s">
        <v>42</v>
      </c>
      <c r="H293" t="s">
        <v>42</v>
      </c>
      <c r="I293" t="s">
        <v>42</v>
      </c>
      <c r="J293" t="s">
        <v>42</v>
      </c>
      <c r="K293" t="s">
        <v>42</v>
      </c>
      <c r="L293" t="s">
        <v>42</v>
      </c>
      <c r="M293" t="s">
        <v>42</v>
      </c>
      <c r="N293" t="s">
        <v>122</v>
      </c>
    </row>
    <row r="294" spans="1:14" x14ac:dyDescent="0.25">
      <c r="A294" t="s">
        <v>39</v>
      </c>
      <c r="B294" s="5" t="s">
        <v>20</v>
      </c>
      <c r="C294" t="s">
        <v>123</v>
      </c>
      <c r="D294">
        <v>13.4</v>
      </c>
      <c r="E294">
        <f t="shared" si="10"/>
        <v>13.4</v>
      </c>
      <c r="F294" t="s">
        <v>42</v>
      </c>
      <c r="G294" t="s">
        <v>42</v>
      </c>
      <c r="H294" t="s">
        <v>42</v>
      </c>
      <c r="I294" t="s">
        <v>42</v>
      </c>
      <c r="J294" t="s">
        <v>42</v>
      </c>
      <c r="K294" t="s">
        <v>42</v>
      </c>
      <c r="L294" t="s">
        <v>42</v>
      </c>
      <c r="M294" t="s">
        <v>42</v>
      </c>
      <c r="N294" t="s">
        <v>122</v>
      </c>
    </row>
    <row r="295" spans="1:14" x14ac:dyDescent="0.25">
      <c r="A295" t="s">
        <v>39</v>
      </c>
      <c r="B295" s="5" t="s">
        <v>20</v>
      </c>
      <c r="C295" t="s">
        <v>121</v>
      </c>
      <c r="D295">
        <v>9</v>
      </c>
      <c r="E295">
        <f t="shared" si="10"/>
        <v>9</v>
      </c>
      <c r="F295" t="s">
        <v>42</v>
      </c>
      <c r="G295" t="s">
        <v>42</v>
      </c>
      <c r="H295" t="s">
        <v>42</v>
      </c>
      <c r="I295" t="s">
        <v>42</v>
      </c>
      <c r="J295" t="s">
        <v>42</v>
      </c>
      <c r="K295" t="s">
        <v>42</v>
      </c>
      <c r="L295" t="s">
        <v>42</v>
      </c>
      <c r="M295" t="s">
        <v>42</v>
      </c>
      <c r="N295" t="s">
        <v>122</v>
      </c>
    </row>
    <row r="296" spans="1:14" x14ac:dyDescent="0.25">
      <c r="A296" t="s">
        <v>39</v>
      </c>
      <c r="B296" s="5" t="s">
        <v>20</v>
      </c>
      <c r="C296" t="s">
        <v>121</v>
      </c>
      <c r="D296">
        <v>7.9</v>
      </c>
      <c r="E296">
        <f t="shared" si="10"/>
        <v>7.9</v>
      </c>
      <c r="F296" t="s">
        <v>42</v>
      </c>
      <c r="G296" t="s">
        <v>42</v>
      </c>
      <c r="H296" t="s">
        <v>42</v>
      </c>
      <c r="I296" t="s">
        <v>42</v>
      </c>
      <c r="J296" t="s">
        <v>42</v>
      </c>
      <c r="K296" t="s">
        <v>42</v>
      </c>
      <c r="L296" t="s">
        <v>42</v>
      </c>
      <c r="M296" t="s">
        <v>42</v>
      </c>
      <c r="N296" t="s">
        <v>122</v>
      </c>
    </row>
    <row r="297" spans="1:14" x14ac:dyDescent="0.25">
      <c r="A297" t="s">
        <v>39</v>
      </c>
      <c r="B297" s="5" t="s">
        <v>20</v>
      </c>
      <c r="C297" t="s">
        <v>121</v>
      </c>
      <c r="D297">
        <v>8.5</v>
      </c>
      <c r="E297">
        <f t="shared" si="10"/>
        <v>8.5</v>
      </c>
      <c r="F297" t="s">
        <v>42</v>
      </c>
      <c r="G297" t="s">
        <v>42</v>
      </c>
      <c r="H297" t="s">
        <v>42</v>
      </c>
      <c r="I297" t="s">
        <v>42</v>
      </c>
      <c r="J297" t="s">
        <v>42</v>
      </c>
      <c r="K297" t="s">
        <v>42</v>
      </c>
      <c r="L297" t="s">
        <v>42</v>
      </c>
      <c r="M297" t="s">
        <v>42</v>
      </c>
      <c r="N297" t="s">
        <v>122</v>
      </c>
    </row>
    <row r="298" spans="1:14" x14ac:dyDescent="0.25">
      <c r="A298" t="s">
        <v>39</v>
      </c>
      <c r="B298" s="5" t="s">
        <v>20</v>
      </c>
      <c r="C298" t="s">
        <v>121</v>
      </c>
      <c r="D298">
        <v>15.9</v>
      </c>
      <c r="E298">
        <f t="shared" si="10"/>
        <v>15.9</v>
      </c>
      <c r="F298" t="s">
        <v>42</v>
      </c>
      <c r="G298" t="s">
        <v>42</v>
      </c>
      <c r="H298" t="s">
        <v>42</v>
      </c>
      <c r="I298" t="s">
        <v>42</v>
      </c>
      <c r="J298" t="s">
        <v>42</v>
      </c>
      <c r="K298" t="s">
        <v>42</v>
      </c>
      <c r="L298" t="s">
        <v>42</v>
      </c>
      <c r="M298" t="s">
        <v>42</v>
      </c>
      <c r="N298" t="s">
        <v>122</v>
      </c>
    </row>
    <row r="299" spans="1:14" x14ac:dyDescent="0.25">
      <c r="A299" t="s">
        <v>39</v>
      </c>
      <c r="B299" s="5" t="s">
        <v>20</v>
      </c>
      <c r="C299" t="s">
        <v>121</v>
      </c>
      <c r="D299">
        <v>16.5</v>
      </c>
      <c r="E299">
        <f t="shared" si="10"/>
        <v>16.5</v>
      </c>
      <c r="F299" t="s">
        <v>42</v>
      </c>
      <c r="G299" t="s">
        <v>42</v>
      </c>
      <c r="H299" t="s">
        <v>42</v>
      </c>
      <c r="I299" t="s">
        <v>42</v>
      </c>
      <c r="J299" t="s">
        <v>42</v>
      </c>
      <c r="K299" t="s">
        <v>42</v>
      </c>
      <c r="L299" t="s">
        <v>42</v>
      </c>
      <c r="M299" t="s">
        <v>42</v>
      </c>
      <c r="N299" t="s">
        <v>122</v>
      </c>
    </row>
    <row r="300" spans="1:14" x14ac:dyDescent="0.25">
      <c r="A300" t="s">
        <v>39</v>
      </c>
      <c r="B300" s="5" t="s">
        <v>20</v>
      </c>
      <c r="C300" t="s">
        <v>121</v>
      </c>
      <c r="D300">
        <v>10.3</v>
      </c>
      <c r="E300">
        <f t="shared" si="10"/>
        <v>10.3</v>
      </c>
      <c r="F300" t="s">
        <v>42</v>
      </c>
      <c r="G300" t="s">
        <v>42</v>
      </c>
      <c r="H300" t="s">
        <v>42</v>
      </c>
      <c r="I300" t="s">
        <v>42</v>
      </c>
      <c r="J300" t="s">
        <v>42</v>
      </c>
      <c r="K300" t="s">
        <v>42</v>
      </c>
      <c r="L300" t="s">
        <v>42</v>
      </c>
      <c r="M300" t="s">
        <v>42</v>
      </c>
      <c r="N300" t="s">
        <v>122</v>
      </c>
    </row>
    <row r="301" spans="1:14" x14ac:dyDescent="0.25">
      <c r="A301" t="s">
        <v>39</v>
      </c>
      <c r="B301" s="5" t="s">
        <v>20</v>
      </c>
      <c r="C301" t="s">
        <v>121</v>
      </c>
      <c r="D301">
        <v>15.3</v>
      </c>
      <c r="E301">
        <f t="shared" si="10"/>
        <v>15.3</v>
      </c>
      <c r="F301" t="s">
        <v>42</v>
      </c>
      <c r="G301" t="s">
        <v>42</v>
      </c>
      <c r="H301" t="s">
        <v>42</v>
      </c>
      <c r="I301" t="s">
        <v>42</v>
      </c>
      <c r="J301" t="s">
        <v>42</v>
      </c>
      <c r="K301" t="s">
        <v>42</v>
      </c>
      <c r="L301" t="s">
        <v>42</v>
      </c>
      <c r="M301" t="s">
        <v>42</v>
      </c>
      <c r="N301" t="s">
        <v>122</v>
      </c>
    </row>
    <row r="302" spans="1:14" x14ac:dyDescent="0.25">
      <c r="A302" t="s">
        <v>39</v>
      </c>
      <c r="B302" s="5" t="s">
        <v>20</v>
      </c>
      <c r="C302" t="s">
        <v>121</v>
      </c>
      <c r="D302">
        <v>20.2</v>
      </c>
      <c r="E302">
        <f t="shared" si="10"/>
        <v>20.2</v>
      </c>
      <c r="F302" t="s">
        <v>42</v>
      </c>
      <c r="G302" t="s">
        <v>42</v>
      </c>
      <c r="H302" t="s">
        <v>42</v>
      </c>
      <c r="I302" t="s">
        <v>42</v>
      </c>
      <c r="J302" t="s">
        <v>42</v>
      </c>
      <c r="K302" t="s">
        <v>42</v>
      </c>
      <c r="L302" t="s">
        <v>42</v>
      </c>
      <c r="M302" t="s">
        <v>42</v>
      </c>
      <c r="N302" t="s">
        <v>122</v>
      </c>
    </row>
    <row r="303" spans="1:14" x14ac:dyDescent="0.25">
      <c r="A303" t="s">
        <v>39</v>
      </c>
      <c r="B303" s="5" t="s">
        <v>20</v>
      </c>
      <c r="C303" t="s">
        <v>121</v>
      </c>
      <c r="D303">
        <v>7.5</v>
      </c>
      <c r="E303">
        <f t="shared" si="10"/>
        <v>7.5</v>
      </c>
      <c r="F303" t="s">
        <v>42</v>
      </c>
      <c r="G303" t="s">
        <v>42</v>
      </c>
      <c r="H303" t="s">
        <v>42</v>
      </c>
      <c r="I303" t="s">
        <v>42</v>
      </c>
      <c r="J303" t="s">
        <v>42</v>
      </c>
      <c r="K303" t="s">
        <v>42</v>
      </c>
      <c r="L303" t="s">
        <v>42</v>
      </c>
      <c r="M303" t="s">
        <v>42</v>
      </c>
      <c r="N303" t="s">
        <v>122</v>
      </c>
    </row>
    <row r="304" spans="1:14" x14ac:dyDescent="0.25">
      <c r="A304" t="s">
        <v>39</v>
      </c>
      <c r="B304" s="5" t="s">
        <v>20</v>
      </c>
      <c r="C304" t="s">
        <v>121</v>
      </c>
      <c r="D304">
        <v>9.4</v>
      </c>
      <c r="E304">
        <f t="shared" si="10"/>
        <v>9.4</v>
      </c>
      <c r="F304" t="s">
        <v>42</v>
      </c>
      <c r="G304" t="s">
        <v>42</v>
      </c>
      <c r="H304" t="s">
        <v>42</v>
      </c>
      <c r="I304" t="s">
        <v>42</v>
      </c>
      <c r="J304" t="s">
        <v>42</v>
      </c>
      <c r="K304" t="s">
        <v>42</v>
      </c>
      <c r="L304" t="s">
        <v>42</v>
      </c>
      <c r="M304" t="s">
        <v>42</v>
      </c>
      <c r="N304" t="s">
        <v>122</v>
      </c>
    </row>
    <row r="305" spans="1:14" x14ac:dyDescent="0.25">
      <c r="A305" t="s">
        <v>39</v>
      </c>
      <c r="B305" s="5" t="s">
        <v>20</v>
      </c>
      <c r="C305" t="s">
        <v>121</v>
      </c>
      <c r="D305">
        <v>15.7</v>
      </c>
      <c r="E305">
        <f t="shared" si="10"/>
        <v>15.7</v>
      </c>
      <c r="F305" t="s">
        <v>42</v>
      </c>
      <c r="G305" t="s">
        <v>42</v>
      </c>
      <c r="H305" t="s">
        <v>42</v>
      </c>
      <c r="I305" t="s">
        <v>42</v>
      </c>
      <c r="J305" t="s">
        <v>42</v>
      </c>
      <c r="K305" t="s">
        <v>42</v>
      </c>
      <c r="L305" t="s">
        <v>42</v>
      </c>
      <c r="M305" t="s">
        <v>42</v>
      </c>
      <c r="N305" t="s">
        <v>122</v>
      </c>
    </row>
    <row r="306" spans="1:14" x14ac:dyDescent="0.25">
      <c r="A306" t="s">
        <v>39</v>
      </c>
      <c r="B306" s="5" t="s">
        <v>20</v>
      </c>
      <c r="C306" t="s">
        <v>121</v>
      </c>
      <c r="D306">
        <v>16.399999999999999</v>
      </c>
      <c r="E306">
        <f t="shared" si="10"/>
        <v>16.399999999999999</v>
      </c>
      <c r="F306" t="s">
        <v>42</v>
      </c>
      <c r="G306" t="s">
        <v>42</v>
      </c>
      <c r="H306" t="s">
        <v>42</v>
      </c>
      <c r="I306" t="s">
        <v>42</v>
      </c>
      <c r="J306" t="s">
        <v>42</v>
      </c>
      <c r="K306" t="s">
        <v>42</v>
      </c>
      <c r="L306" t="s">
        <v>42</v>
      </c>
      <c r="M306" t="s">
        <v>42</v>
      </c>
      <c r="N306" t="s">
        <v>122</v>
      </c>
    </row>
    <row r="307" spans="1:14" x14ac:dyDescent="0.25">
      <c r="A307" t="s">
        <v>39</v>
      </c>
      <c r="B307" s="5" t="s">
        <v>20</v>
      </c>
      <c r="C307" t="s">
        <v>121</v>
      </c>
      <c r="D307">
        <v>10.4</v>
      </c>
      <c r="E307">
        <f t="shared" si="10"/>
        <v>10.4</v>
      </c>
      <c r="F307" t="s">
        <v>42</v>
      </c>
      <c r="G307" t="s">
        <v>42</v>
      </c>
      <c r="H307" t="s">
        <v>42</v>
      </c>
      <c r="I307" t="s">
        <v>42</v>
      </c>
      <c r="J307" t="s">
        <v>42</v>
      </c>
      <c r="K307" t="s">
        <v>42</v>
      </c>
      <c r="L307" t="s">
        <v>42</v>
      </c>
      <c r="M307" t="s">
        <v>42</v>
      </c>
      <c r="N307" t="s">
        <v>122</v>
      </c>
    </row>
    <row r="308" spans="1:14" x14ac:dyDescent="0.25">
      <c r="A308" t="s">
        <v>39</v>
      </c>
      <c r="B308" s="5" t="s">
        <v>20</v>
      </c>
      <c r="C308" t="s">
        <v>121</v>
      </c>
      <c r="D308">
        <v>21.5</v>
      </c>
      <c r="E308">
        <f t="shared" si="10"/>
        <v>21.5</v>
      </c>
      <c r="F308" t="s">
        <v>42</v>
      </c>
      <c r="G308" t="s">
        <v>42</v>
      </c>
      <c r="H308" t="s">
        <v>42</v>
      </c>
      <c r="I308" t="s">
        <v>42</v>
      </c>
      <c r="J308" t="s">
        <v>42</v>
      </c>
      <c r="K308" t="s">
        <v>42</v>
      </c>
      <c r="L308" t="s">
        <v>42</v>
      </c>
      <c r="M308" t="s">
        <v>42</v>
      </c>
      <c r="N308" t="s">
        <v>122</v>
      </c>
    </row>
    <row r="309" spans="1:14" x14ac:dyDescent="0.25">
      <c r="A309" t="s">
        <v>39</v>
      </c>
      <c r="B309" s="5" t="s">
        <v>20</v>
      </c>
      <c r="C309" t="s">
        <v>121</v>
      </c>
      <c r="D309">
        <v>17.600000000000001</v>
      </c>
      <c r="E309">
        <f t="shared" si="10"/>
        <v>17.600000000000001</v>
      </c>
      <c r="F309" t="s">
        <v>42</v>
      </c>
      <c r="G309" t="s">
        <v>42</v>
      </c>
      <c r="H309" t="s">
        <v>42</v>
      </c>
      <c r="I309" t="s">
        <v>42</v>
      </c>
      <c r="J309" t="s">
        <v>42</v>
      </c>
      <c r="K309" t="s">
        <v>42</v>
      </c>
      <c r="L309" t="s">
        <v>42</v>
      </c>
      <c r="M309" t="s">
        <v>42</v>
      </c>
      <c r="N309" t="s">
        <v>122</v>
      </c>
    </row>
    <row r="310" spans="1:14" x14ac:dyDescent="0.25">
      <c r="A310" t="s">
        <v>39</v>
      </c>
      <c r="B310" s="5" t="s">
        <v>20</v>
      </c>
      <c r="C310" t="s">
        <v>121</v>
      </c>
      <c r="D310">
        <v>12.8</v>
      </c>
      <c r="E310">
        <f t="shared" si="10"/>
        <v>12.8</v>
      </c>
      <c r="F310" t="s">
        <v>42</v>
      </c>
      <c r="G310" t="s">
        <v>42</v>
      </c>
      <c r="H310" t="s">
        <v>42</v>
      </c>
      <c r="I310" t="s">
        <v>42</v>
      </c>
      <c r="J310" t="s">
        <v>42</v>
      </c>
      <c r="K310" t="s">
        <v>42</v>
      </c>
      <c r="L310" t="s">
        <v>42</v>
      </c>
      <c r="M310" t="s">
        <v>42</v>
      </c>
      <c r="N310" t="s">
        <v>122</v>
      </c>
    </row>
    <row r="311" spans="1:14" x14ac:dyDescent="0.25">
      <c r="A311" t="s">
        <v>39</v>
      </c>
      <c r="B311" s="5" t="s">
        <v>20</v>
      </c>
      <c r="C311" t="s">
        <v>121</v>
      </c>
      <c r="D311">
        <v>11.6</v>
      </c>
      <c r="E311">
        <f t="shared" si="10"/>
        <v>11.6</v>
      </c>
      <c r="F311" t="s">
        <v>42</v>
      </c>
      <c r="G311" t="s">
        <v>42</v>
      </c>
      <c r="H311" t="s">
        <v>42</v>
      </c>
      <c r="I311" t="s">
        <v>42</v>
      </c>
      <c r="J311" t="s">
        <v>42</v>
      </c>
      <c r="K311" t="s">
        <v>42</v>
      </c>
      <c r="L311" t="s">
        <v>42</v>
      </c>
      <c r="M311" t="s">
        <v>42</v>
      </c>
      <c r="N311" t="s">
        <v>122</v>
      </c>
    </row>
    <row r="312" spans="1:14" x14ac:dyDescent="0.25">
      <c r="A312" t="s">
        <v>39</v>
      </c>
      <c r="B312" s="5" t="s">
        <v>20</v>
      </c>
      <c r="C312" t="s">
        <v>121</v>
      </c>
      <c r="D312">
        <v>20.399999999999999</v>
      </c>
      <c r="E312">
        <f t="shared" si="10"/>
        <v>20.399999999999999</v>
      </c>
      <c r="F312" t="s">
        <v>42</v>
      </c>
      <c r="G312" t="s">
        <v>42</v>
      </c>
      <c r="H312" t="s">
        <v>42</v>
      </c>
      <c r="I312" t="s">
        <v>42</v>
      </c>
      <c r="J312" t="s">
        <v>42</v>
      </c>
      <c r="K312" t="s">
        <v>42</v>
      </c>
      <c r="L312" t="s">
        <v>42</v>
      </c>
      <c r="M312" t="s">
        <v>42</v>
      </c>
      <c r="N312" t="s">
        <v>122</v>
      </c>
    </row>
    <row r="313" spans="1:14" x14ac:dyDescent="0.25">
      <c r="A313" t="s">
        <v>39</v>
      </c>
      <c r="B313" s="5" t="s">
        <v>20</v>
      </c>
      <c r="C313" t="s">
        <v>121</v>
      </c>
      <c r="D313">
        <v>17.3</v>
      </c>
      <c r="E313">
        <f t="shared" si="10"/>
        <v>17.3</v>
      </c>
      <c r="F313" t="s">
        <v>42</v>
      </c>
      <c r="G313" t="s">
        <v>42</v>
      </c>
      <c r="H313" t="s">
        <v>42</v>
      </c>
      <c r="I313" t="s">
        <v>42</v>
      </c>
      <c r="J313" t="s">
        <v>42</v>
      </c>
      <c r="K313" t="s">
        <v>42</v>
      </c>
      <c r="L313" t="s">
        <v>42</v>
      </c>
      <c r="M313" t="s">
        <v>42</v>
      </c>
      <c r="N313" t="s">
        <v>122</v>
      </c>
    </row>
    <row r="314" spans="1:14" x14ac:dyDescent="0.25">
      <c r="A314" t="s">
        <v>39</v>
      </c>
      <c r="B314" s="5" t="s">
        <v>20</v>
      </c>
      <c r="C314" t="s">
        <v>121</v>
      </c>
      <c r="D314">
        <v>17.399999999999999</v>
      </c>
      <c r="E314">
        <f t="shared" si="10"/>
        <v>17.399999999999999</v>
      </c>
      <c r="F314" t="s">
        <v>42</v>
      </c>
      <c r="G314" t="s">
        <v>42</v>
      </c>
      <c r="H314" t="s">
        <v>42</v>
      </c>
      <c r="I314" t="s">
        <v>42</v>
      </c>
      <c r="J314" t="s">
        <v>42</v>
      </c>
      <c r="K314" t="s">
        <v>42</v>
      </c>
      <c r="L314" t="s">
        <v>42</v>
      </c>
      <c r="M314" t="s">
        <v>42</v>
      </c>
      <c r="N314" t="s">
        <v>122</v>
      </c>
    </row>
    <row r="315" spans="1:14" x14ac:dyDescent="0.25">
      <c r="A315" t="s">
        <v>39</v>
      </c>
      <c r="B315" s="5" t="s">
        <v>20</v>
      </c>
      <c r="C315" t="s">
        <v>121</v>
      </c>
      <c r="D315">
        <v>13.3</v>
      </c>
      <c r="E315">
        <f t="shared" si="10"/>
        <v>13.3</v>
      </c>
      <c r="F315" t="s">
        <v>42</v>
      </c>
      <c r="G315" t="s">
        <v>42</v>
      </c>
      <c r="H315" t="s">
        <v>42</v>
      </c>
      <c r="I315" t="s">
        <v>42</v>
      </c>
      <c r="J315" t="s">
        <v>42</v>
      </c>
      <c r="K315" t="s">
        <v>42</v>
      </c>
      <c r="L315" t="s">
        <v>42</v>
      </c>
      <c r="M315" t="s">
        <v>42</v>
      </c>
      <c r="N315" t="s">
        <v>122</v>
      </c>
    </row>
    <row r="316" spans="1:14" x14ac:dyDescent="0.25">
      <c r="A316" t="s">
        <v>39</v>
      </c>
      <c r="B316" s="5" t="s">
        <v>20</v>
      </c>
      <c r="C316" t="s">
        <v>121</v>
      </c>
      <c r="D316">
        <v>10.5</v>
      </c>
      <c r="E316">
        <f t="shared" si="10"/>
        <v>10.5</v>
      </c>
      <c r="F316" t="s">
        <v>42</v>
      </c>
      <c r="G316" t="s">
        <v>42</v>
      </c>
      <c r="H316" t="s">
        <v>42</v>
      </c>
      <c r="I316" t="s">
        <v>42</v>
      </c>
      <c r="J316" t="s">
        <v>42</v>
      </c>
      <c r="K316" t="s">
        <v>42</v>
      </c>
      <c r="L316" t="s">
        <v>42</v>
      </c>
      <c r="M316" t="s">
        <v>42</v>
      </c>
      <c r="N316" t="s">
        <v>122</v>
      </c>
    </row>
    <row r="317" spans="1:14" x14ac:dyDescent="0.25">
      <c r="A317" t="s">
        <v>39</v>
      </c>
      <c r="B317" s="5" t="s">
        <v>20</v>
      </c>
      <c r="C317" t="s">
        <v>121</v>
      </c>
      <c r="D317">
        <v>11.4</v>
      </c>
      <c r="E317">
        <f t="shared" si="10"/>
        <v>11.4</v>
      </c>
      <c r="F317" t="s">
        <v>42</v>
      </c>
      <c r="G317" t="s">
        <v>42</v>
      </c>
      <c r="H317" t="s">
        <v>42</v>
      </c>
      <c r="I317" t="s">
        <v>42</v>
      </c>
      <c r="J317" t="s">
        <v>42</v>
      </c>
      <c r="K317" t="s">
        <v>42</v>
      </c>
      <c r="L317" t="s">
        <v>42</v>
      </c>
      <c r="M317" t="s">
        <v>42</v>
      </c>
      <c r="N317" t="s">
        <v>122</v>
      </c>
    </row>
    <row r="318" spans="1:14" x14ac:dyDescent="0.25">
      <c r="A318" t="s">
        <v>39</v>
      </c>
      <c r="B318" s="5" t="s">
        <v>20</v>
      </c>
      <c r="C318" t="s">
        <v>121</v>
      </c>
      <c r="D318">
        <v>9.5</v>
      </c>
      <c r="E318">
        <f t="shared" si="10"/>
        <v>9.5</v>
      </c>
      <c r="F318" t="s">
        <v>42</v>
      </c>
      <c r="G318" t="s">
        <v>42</v>
      </c>
      <c r="H318" t="s">
        <v>42</v>
      </c>
      <c r="I318" t="s">
        <v>42</v>
      </c>
      <c r="J318" t="s">
        <v>42</v>
      </c>
      <c r="K318" t="s">
        <v>42</v>
      </c>
      <c r="L318" t="s">
        <v>42</v>
      </c>
      <c r="M318" t="s">
        <v>42</v>
      </c>
      <c r="N318" t="s">
        <v>122</v>
      </c>
    </row>
    <row r="319" spans="1:14" x14ac:dyDescent="0.25">
      <c r="A319" t="s">
        <v>39</v>
      </c>
      <c r="B319" s="5" t="s">
        <v>20</v>
      </c>
      <c r="C319" t="s">
        <v>121</v>
      </c>
      <c r="D319">
        <v>16.399999999999999</v>
      </c>
      <c r="E319">
        <f t="shared" si="10"/>
        <v>16.399999999999999</v>
      </c>
      <c r="F319" t="s">
        <v>42</v>
      </c>
      <c r="G319" t="s">
        <v>42</v>
      </c>
      <c r="H319" t="s">
        <v>42</v>
      </c>
      <c r="I319" t="s">
        <v>42</v>
      </c>
      <c r="J319" t="s">
        <v>42</v>
      </c>
      <c r="K319" t="s">
        <v>42</v>
      </c>
      <c r="L319" t="s">
        <v>42</v>
      </c>
      <c r="M319" t="s">
        <v>42</v>
      </c>
      <c r="N319" t="s">
        <v>122</v>
      </c>
    </row>
    <row r="320" spans="1:14" x14ac:dyDescent="0.25">
      <c r="A320" t="s">
        <v>40</v>
      </c>
      <c r="B320" s="5" t="s">
        <v>20</v>
      </c>
      <c r="C320" t="s">
        <v>121</v>
      </c>
      <c r="D320">
        <v>9.5</v>
      </c>
      <c r="E320">
        <f t="shared" si="10"/>
        <v>9.5</v>
      </c>
      <c r="F320" t="s">
        <v>42</v>
      </c>
      <c r="G320" t="s">
        <v>42</v>
      </c>
      <c r="H320" t="s">
        <v>42</v>
      </c>
      <c r="I320" t="s">
        <v>42</v>
      </c>
      <c r="J320" t="s">
        <v>42</v>
      </c>
      <c r="K320" t="s">
        <v>42</v>
      </c>
      <c r="L320" t="s">
        <v>42</v>
      </c>
      <c r="M320" t="s">
        <v>42</v>
      </c>
      <c r="N320" t="s">
        <v>122</v>
      </c>
    </row>
    <row r="321" spans="1:14" x14ac:dyDescent="0.25">
      <c r="A321" t="s">
        <v>40</v>
      </c>
      <c r="B321" s="5" t="s">
        <v>20</v>
      </c>
      <c r="C321" t="s">
        <v>121</v>
      </c>
      <c r="D321">
        <v>17.399999999999999</v>
      </c>
      <c r="E321">
        <f t="shared" si="10"/>
        <v>17.399999999999999</v>
      </c>
      <c r="F321" t="s">
        <v>42</v>
      </c>
      <c r="G321" t="s">
        <v>42</v>
      </c>
      <c r="H321" t="s">
        <v>42</v>
      </c>
      <c r="I321" t="s">
        <v>42</v>
      </c>
      <c r="J321" t="s">
        <v>42</v>
      </c>
      <c r="K321" t="s">
        <v>42</v>
      </c>
      <c r="L321" t="s">
        <v>42</v>
      </c>
      <c r="M321" t="s">
        <v>42</v>
      </c>
      <c r="N321" t="s">
        <v>122</v>
      </c>
    </row>
    <row r="322" spans="1:14" x14ac:dyDescent="0.25">
      <c r="A322" t="s">
        <v>40</v>
      </c>
      <c r="B322" s="5" t="s">
        <v>20</v>
      </c>
      <c r="C322" t="s">
        <v>121</v>
      </c>
      <c r="D322">
        <v>12.2</v>
      </c>
      <c r="E322">
        <f t="shared" si="10"/>
        <v>12.2</v>
      </c>
      <c r="F322" t="s">
        <v>42</v>
      </c>
      <c r="G322" t="s">
        <v>42</v>
      </c>
      <c r="H322" t="s">
        <v>42</v>
      </c>
      <c r="I322" t="s">
        <v>42</v>
      </c>
      <c r="J322" t="s">
        <v>42</v>
      </c>
      <c r="K322" t="s">
        <v>42</v>
      </c>
      <c r="L322" t="s">
        <v>42</v>
      </c>
      <c r="M322" t="s">
        <v>42</v>
      </c>
      <c r="N322" t="s">
        <v>122</v>
      </c>
    </row>
    <row r="323" spans="1:14" x14ac:dyDescent="0.25">
      <c r="A323" t="s">
        <v>40</v>
      </c>
      <c r="B323" s="5" t="s">
        <v>20</v>
      </c>
      <c r="C323" t="s">
        <v>121</v>
      </c>
      <c r="D323">
        <v>9.9</v>
      </c>
      <c r="E323">
        <f t="shared" si="10"/>
        <v>9.9</v>
      </c>
      <c r="F323" t="s">
        <v>42</v>
      </c>
      <c r="G323" t="s">
        <v>42</v>
      </c>
      <c r="H323" t="s">
        <v>42</v>
      </c>
      <c r="I323" t="s">
        <v>42</v>
      </c>
      <c r="J323" t="s">
        <v>42</v>
      </c>
      <c r="K323" t="s">
        <v>42</v>
      </c>
      <c r="L323" t="s">
        <v>42</v>
      </c>
      <c r="M323" t="s">
        <v>42</v>
      </c>
      <c r="N323" t="s">
        <v>122</v>
      </c>
    </row>
    <row r="324" spans="1:14" x14ac:dyDescent="0.25">
      <c r="A324" t="s">
        <v>40</v>
      </c>
      <c r="B324" s="5" t="s">
        <v>20</v>
      </c>
      <c r="C324" t="s">
        <v>121</v>
      </c>
      <c r="D324">
        <v>8.3000000000000007</v>
      </c>
      <c r="E324">
        <f t="shared" si="10"/>
        <v>8.3000000000000007</v>
      </c>
      <c r="F324" t="s">
        <v>42</v>
      </c>
      <c r="G324" t="s">
        <v>42</v>
      </c>
      <c r="H324" t="s">
        <v>42</v>
      </c>
      <c r="I324" t="s">
        <v>42</v>
      </c>
      <c r="J324" t="s">
        <v>42</v>
      </c>
      <c r="K324" t="s">
        <v>42</v>
      </c>
      <c r="L324" t="s">
        <v>42</v>
      </c>
      <c r="M324" t="s">
        <v>42</v>
      </c>
      <c r="N324" t="s">
        <v>122</v>
      </c>
    </row>
    <row r="325" spans="1:14" x14ac:dyDescent="0.25">
      <c r="A325" t="s">
        <v>40</v>
      </c>
      <c r="B325" s="5" t="s">
        <v>20</v>
      </c>
      <c r="C325" t="s">
        <v>121</v>
      </c>
      <c r="D325">
        <v>11.2</v>
      </c>
      <c r="E325">
        <f t="shared" si="10"/>
        <v>11.2</v>
      </c>
      <c r="F325" t="s">
        <v>42</v>
      </c>
      <c r="G325" t="s">
        <v>42</v>
      </c>
      <c r="H325" t="s">
        <v>42</v>
      </c>
      <c r="I325" t="s">
        <v>42</v>
      </c>
      <c r="J325" t="s">
        <v>42</v>
      </c>
      <c r="K325" t="s">
        <v>42</v>
      </c>
      <c r="L325" t="s">
        <v>42</v>
      </c>
      <c r="M325" t="s">
        <v>42</v>
      </c>
      <c r="N325" t="s">
        <v>122</v>
      </c>
    </row>
    <row r="326" spans="1:14" x14ac:dyDescent="0.25">
      <c r="A326" t="s">
        <v>40</v>
      </c>
      <c r="B326" s="5" t="s">
        <v>20</v>
      </c>
      <c r="C326" t="s">
        <v>121</v>
      </c>
      <c r="D326">
        <v>8.1</v>
      </c>
      <c r="E326">
        <f t="shared" si="10"/>
        <v>8.1</v>
      </c>
      <c r="F326" t="s">
        <v>42</v>
      </c>
      <c r="G326" t="s">
        <v>42</v>
      </c>
      <c r="H326" t="s">
        <v>42</v>
      </c>
      <c r="I326" t="s">
        <v>42</v>
      </c>
      <c r="J326" t="s">
        <v>42</v>
      </c>
      <c r="K326" t="s">
        <v>42</v>
      </c>
      <c r="L326" t="s">
        <v>42</v>
      </c>
      <c r="M326" t="s">
        <v>42</v>
      </c>
      <c r="N326" t="s">
        <v>122</v>
      </c>
    </row>
    <row r="327" spans="1:14" x14ac:dyDescent="0.25">
      <c r="A327" t="s">
        <v>40</v>
      </c>
      <c r="B327" s="5" t="s">
        <v>20</v>
      </c>
      <c r="C327" t="s">
        <v>121</v>
      </c>
      <c r="D327">
        <v>11</v>
      </c>
      <c r="E327">
        <f t="shared" si="10"/>
        <v>11</v>
      </c>
      <c r="F327" t="s">
        <v>42</v>
      </c>
      <c r="G327" t="s">
        <v>42</v>
      </c>
      <c r="H327" t="s">
        <v>42</v>
      </c>
      <c r="I327" t="s">
        <v>42</v>
      </c>
      <c r="J327" t="s">
        <v>42</v>
      </c>
      <c r="K327" t="s">
        <v>42</v>
      </c>
      <c r="L327" t="s">
        <v>42</v>
      </c>
      <c r="M327" t="s">
        <v>42</v>
      </c>
      <c r="N327" t="s">
        <v>122</v>
      </c>
    </row>
    <row r="328" spans="1:14" x14ac:dyDescent="0.25">
      <c r="A328" t="s">
        <v>40</v>
      </c>
      <c r="B328" s="5" t="s">
        <v>20</v>
      </c>
      <c r="C328" t="s">
        <v>121</v>
      </c>
      <c r="D328">
        <v>14</v>
      </c>
      <c r="E328">
        <f t="shared" si="10"/>
        <v>14</v>
      </c>
      <c r="F328" t="s">
        <v>42</v>
      </c>
      <c r="G328" t="s">
        <v>42</v>
      </c>
      <c r="H328" t="s">
        <v>42</v>
      </c>
      <c r="I328" t="s">
        <v>42</v>
      </c>
      <c r="J328" t="s">
        <v>42</v>
      </c>
      <c r="K328" t="s">
        <v>42</v>
      </c>
      <c r="L328" t="s">
        <v>42</v>
      </c>
      <c r="M328" t="s">
        <v>42</v>
      </c>
      <c r="N328" t="s">
        <v>122</v>
      </c>
    </row>
    <row r="329" spans="1:14" x14ac:dyDescent="0.25">
      <c r="A329" t="s">
        <v>40</v>
      </c>
      <c r="B329" s="5" t="s">
        <v>20</v>
      </c>
      <c r="C329" t="s">
        <v>121</v>
      </c>
      <c r="D329">
        <v>13.4</v>
      </c>
      <c r="E329">
        <f t="shared" si="10"/>
        <v>13.4</v>
      </c>
      <c r="F329" t="s">
        <v>42</v>
      </c>
      <c r="G329" t="s">
        <v>42</v>
      </c>
      <c r="H329" t="s">
        <v>42</v>
      </c>
      <c r="I329" t="s">
        <v>42</v>
      </c>
      <c r="J329" t="s">
        <v>42</v>
      </c>
      <c r="K329" t="s">
        <v>42</v>
      </c>
      <c r="L329" t="s">
        <v>42</v>
      </c>
      <c r="M329" t="s">
        <v>42</v>
      </c>
      <c r="N329" t="s">
        <v>122</v>
      </c>
    </row>
    <row r="330" spans="1:14" x14ac:dyDescent="0.25">
      <c r="A330" t="s">
        <v>40</v>
      </c>
      <c r="B330" s="5" t="s">
        <v>20</v>
      </c>
      <c r="C330" t="s">
        <v>121</v>
      </c>
      <c r="D330">
        <v>15.8</v>
      </c>
      <c r="E330">
        <f t="shared" si="10"/>
        <v>15.8</v>
      </c>
      <c r="F330" t="s">
        <v>42</v>
      </c>
      <c r="G330" t="s">
        <v>42</v>
      </c>
      <c r="H330" t="s">
        <v>42</v>
      </c>
      <c r="I330" t="s">
        <v>42</v>
      </c>
      <c r="J330" t="s">
        <v>42</v>
      </c>
      <c r="K330" t="s">
        <v>42</v>
      </c>
      <c r="L330" t="s">
        <v>42</v>
      </c>
      <c r="M330" t="s">
        <v>42</v>
      </c>
      <c r="N330" t="s">
        <v>122</v>
      </c>
    </row>
    <row r="331" spans="1:14" x14ac:dyDescent="0.25">
      <c r="A331" t="s">
        <v>40</v>
      </c>
      <c r="B331" s="5" t="s">
        <v>20</v>
      </c>
      <c r="C331" t="s">
        <v>121</v>
      </c>
      <c r="D331">
        <v>13.9</v>
      </c>
      <c r="E331">
        <f t="shared" si="10"/>
        <v>13.9</v>
      </c>
      <c r="F331" t="s">
        <v>42</v>
      </c>
      <c r="G331" t="s">
        <v>42</v>
      </c>
      <c r="H331" t="s">
        <v>42</v>
      </c>
      <c r="I331" t="s">
        <v>42</v>
      </c>
      <c r="J331" t="s">
        <v>42</v>
      </c>
      <c r="K331" t="s">
        <v>42</v>
      </c>
      <c r="L331" t="s">
        <v>42</v>
      </c>
      <c r="M331" t="s">
        <v>42</v>
      </c>
      <c r="N331" t="s">
        <v>122</v>
      </c>
    </row>
    <row r="332" spans="1:14" x14ac:dyDescent="0.25">
      <c r="A332" t="s">
        <v>40</v>
      </c>
      <c r="B332" s="5" t="s">
        <v>20</v>
      </c>
      <c r="C332" t="s">
        <v>121</v>
      </c>
      <c r="D332">
        <v>17.2</v>
      </c>
      <c r="E332">
        <f t="shared" si="10"/>
        <v>17.2</v>
      </c>
      <c r="F332" t="s">
        <v>42</v>
      </c>
      <c r="G332" t="s">
        <v>42</v>
      </c>
      <c r="H332" t="s">
        <v>42</v>
      </c>
      <c r="I332" t="s">
        <v>42</v>
      </c>
      <c r="J332" t="s">
        <v>42</v>
      </c>
      <c r="K332" t="s">
        <v>42</v>
      </c>
      <c r="L332" t="s">
        <v>42</v>
      </c>
      <c r="M332" t="s">
        <v>42</v>
      </c>
      <c r="N332" t="s">
        <v>122</v>
      </c>
    </row>
    <row r="333" spans="1:14" x14ac:dyDescent="0.25">
      <c r="A333" t="s">
        <v>40</v>
      </c>
      <c r="B333" s="5" t="s">
        <v>20</v>
      </c>
      <c r="C333" t="s">
        <v>121</v>
      </c>
      <c r="D333">
        <v>22.2</v>
      </c>
      <c r="E333">
        <f t="shared" si="10"/>
        <v>22.2</v>
      </c>
      <c r="F333" t="s">
        <v>42</v>
      </c>
      <c r="G333" t="s">
        <v>42</v>
      </c>
      <c r="H333" t="s">
        <v>42</v>
      </c>
      <c r="I333" t="s">
        <v>42</v>
      </c>
      <c r="J333" t="s">
        <v>42</v>
      </c>
      <c r="K333" t="s">
        <v>42</v>
      </c>
      <c r="L333" t="s">
        <v>42</v>
      </c>
      <c r="M333" t="s">
        <v>42</v>
      </c>
      <c r="N333" t="s">
        <v>122</v>
      </c>
    </row>
    <row r="334" spans="1:14" x14ac:dyDescent="0.25">
      <c r="A334" t="s">
        <v>40</v>
      </c>
      <c r="B334" s="5" t="s">
        <v>20</v>
      </c>
      <c r="C334" t="s">
        <v>121</v>
      </c>
      <c r="D334">
        <v>14</v>
      </c>
      <c r="E334">
        <f t="shared" si="10"/>
        <v>14</v>
      </c>
      <c r="F334" t="s">
        <v>42</v>
      </c>
      <c r="G334" t="s">
        <v>42</v>
      </c>
      <c r="H334" t="s">
        <v>42</v>
      </c>
      <c r="I334" t="s">
        <v>42</v>
      </c>
      <c r="J334" t="s">
        <v>42</v>
      </c>
      <c r="K334" t="s">
        <v>42</v>
      </c>
      <c r="L334" t="s">
        <v>42</v>
      </c>
      <c r="M334" t="s">
        <v>42</v>
      </c>
      <c r="N334" t="s">
        <v>122</v>
      </c>
    </row>
    <row r="335" spans="1:14" x14ac:dyDescent="0.25">
      <c r="A335" t="s">
        <v>40</v>
      </c>
      <c r="B335" s="5" t="s">
        <v>20</v>
      </c>
      <c r="C335" t="s">
        <v>123</v>
      </c>
      <c r="D335">
        <v>13.9</v>
      </c>
      <c r="E335">
        <f t="shared" si="10"/>
        <v>13.9</v>
      </c>
      <c r="F335" t="s">
        <v>42</v>
      </c>
      <c r="G335" t="s">
        <v>42</v>
      </c>
      <c r="H335" t="s">
        <v>42</v>
      </c>
      <c r="I335" t="s">
        <v>42</v>
      </c>
      <c r="J335" t="s">
        <v>42</v>
      </c>
      <c r="K335" t="s">
        <v>42</v>
      </c>
      <c r="L335" t="s">
        <v>42</v>
      </c>
      <c r="M335" t="s">
        <v>42</v>
      </c>
      <c r="N335" t="s">
        <v>122</v>
      </c>
    </row>
    <row r="336" spans="1:14" x14ac:dyDescent="0.25">
      <c r="A336" t="s">
        <v>40</v>
      </c>
      <c r="B336" s="5" t="s">
        <v>20</v>
      </c>
      <c r="C336" t="s">
        <v>123</v>
      </c>
      <c r="D336">
        <v>10.1</v>
      </c>
      <c r="E336">
        <f t="shared" si="10"/>
        <v>10.1</v>
      </c>
      <c r="F336" t="s">
        <v>42</v>
      </c>
      <c r="G336" t="s">
        <v>42</v>
      </c>
      <c r="H336" t="s">
        <v>42</v>
      </c>
      <c r="I336" t="s">
        <v>42</v>
      </c>
      <c r="J336" t="s">
        <v>42</v>
      </c>
      <c r="K336" t="s">
        <v>42</v>
      </c>
      <c r="L336" t="s">
        <v>42</v>
      </c>
      <c r="M336" t="s">
        <v>42</v>
      </c>
      <c r="N336" t="s">
        <v>122</v>
      </c>
    </row>
    <row r="337" spans="1:14" x14ac:dyDescent="0.25">
      <c r="A337" t="s">
        <v>40</v>
      </c>
      <c r="B337" s="5" t="s">
        <v>20</v>
      </c>
      <c r="C337" t="s">
        <v>121</v>
      </c>
      <c r="D337">
        <v>25.5</v>
      </c>
      <c r="E337">
        <f t="shared" si="10"/>
        <v>25.5</v>
      </c>
      <c r="F337" t="s">
        <v>42</v>
      </c>
      <c r="G337" t="s">
        <v>42</v>
      </c>
      <c r="H337" t="s">
        <v>42</v>
      </c>
      <c r="I337" t="s">
        <v>42</v>
      </c>
      <c r="J337" t="s">
        <v>42</v>
      </c>
      <c r="K337" t="s">
        <v>42</v>
      </c>
      <c r="L337" t="s">
        <v>42</v>
      </c>
      <c r="M337" t="s">
        <v>42</v>
      </c>
      <c r="N337" t="s">
        <v>122</v>
      </c>
    </row>
    <row r="338" spans="1:14" x14ac:dyDescent="0.25">
      <c r="A338" t="s">
        <v>40</v>
      </c>
      <c r="B338" s="5" t="s">
        <v>20</v>
      </c>
      <c r="C338" t="s">
        <v>123</v>
      </c>
      <c r="D338">
        <v>10.199999999999999</v>
      </c>
      <c r="E338">
        <f t="shared" si="10"/>
        <v>10.199999999999999</v>
      </c>
      <c r="F338" t="s">
        <v>42</v>
      </c>
      <c r="G338" t="s">
        <v>42</v>
      </c>
      <c r="H338" t="s">
        <v>42</v>
      </c>
      <c r="I338" t="s">
        <v>42</v>
      </c>
      <c r="J338" t="s">
        <v>42</v>
      </c>
      <c r="K338" t="s">
        <v>42</v>
      </c>
      <c r="L338" t="s">
        <v>42</v>
      </c>
      <c r="M338" t="s">
        <v>42</v>
      </c>
      <c r="N338" t="s">
        <v>122</v>
      </c>
    </row>
    <row r="339" spans="1:14" x14ac:dyDescent="0.25">
      <c r="A339" t="s">
        <v>40</v>
      </c>
      <c r="B339" s="5" t="s">
        <v>20</v>
      </c>
      <c r="C339" t="s">
        <v>121</v>
      </c>
      <c r="D339">
        <v>21.8</v>
      </c>
      <c r="E339">
        <f t="shared" si="10"/>
        <v>21.8</v>
      </c>
      <c r="F339" t="s">
        <v>42</v>
      </c>
      <c r="G339" t="s">
        <v>42</v>
      </c>
      <c r="H339" t="s">
        <v>42</v>
      </c>
      <c r="I339" t="s">
        <v>42</v>
      </c>
      <c r="J339" t="s">
        <v>42</v>
      </c>
      <c r="K339" t="s">
        <v>42</v>
      </c>
      <c r="L339" t="s">
        <v>42</v>
      </c>
      <c r="M339" t="s">
        <v>42</v>
      </c>
      <c r="N339" t="s">
        <v>122</v>
      </c>
    </row>
    <row r="340" spans="1:14" x14ac:dyDescent="0.25">
      <c r="A340" t="s">
        <v>40</v>
      </c>
      <c r="B340" s="5" t="s">
        <v>20</v>
      </c>
      <c r="C340" t="s">
        <v>121</v>
      </c>
      <c r="D340">
        <v>8.9</v>
      </c>
      <c r="E340">
        <f t="shared" si="10"/>
        <v>8.9</v>
      </c>
      <c r="F340" t="s">
        <v>42</v>
      </c>
      <c r="G340" t="s">
        <v>42</v>
      </c>
      <c r="H340" t="s">
        <v>42</v>
      </c>
      <c r="I340" t="s">
        <v>42</v>
      </c>
      <c r="J340" t="s">
        <v>42</v>
      </c>
      <c r="K340" t="s">
        <v>42</v>
      </c>
      <c r="L340" t="s">
        <v>42</v>
      </c>
      <c r="M340" t="s">
        <v>42</v>
      </c>
      <c r="N340" t="s">
        <v>122</v>
      </c>
    </row>
    <row r="341" spans="1:14" x14ac:dyDescent="0.25">
      <c r="A341" t="s">
        <v>40</v>
      </c>
      <c r="B341" s="5" t="s">
        <v>20</v>
      </c>
      <c r="C341" t="s">
        <v>121</v>
      </c>
      <c r="D341">
        <v>21</v>
      </c>
      <c r="E341">
        <f t="shared" si="10"/>
        <v>21</v>
      </c>
      <c r="F341" t="s">
        <v>42</v>
      </c>
      <c r="G341" t="s">
        <v>42</v>
      </c>
      <c r="H341" t="s">
        <v>42</v>
      </c>
      <c r="I341" t="s">
        <v>42</v>
      </c>
      <c r="J341" t="s">
        <v>42</v>
      </c>
      <c r="K341" t="s">
        <v>42</v>
      </c>
      <c r="L341" t="s">
        <v>42</v>
      </c>
      <c r="M341" t="s">
        <v>42</v>
      </c>
      <c r="N341" t="s">
        <v>122</v>
      </c>
    </row>
    <row r="342" spans="1:14" x14ac:dyDescent="0.25">
      <c r="A342" t="s">
        <v>40</v>
      </c>
      <c r="B342" s="5" t="s">
        <v>20</v>
      </c>
      <c r="C342" t="s">
        <v>121</v>
      </c>
      <c r="D342">
        <v>14.85</v>
      </c>
      <c r="E342">
        <f t="shared" ref="E342:E344" si="11">D342</f>
        <v>14.85</v>
      </c>
      <c r="F342" t="s">
        <v>42</v>
      </c>
      <c r="G342" t="s">
        <v>42</v>
      </c>
      <c r="H342" t="s">
        <v>42</v>
      </c>
      <c r="I342" t="s">
        <v>42</v>
      </c>
      <c r="J342" t="s">
        <v>42</v>
      </c>
      <c r="K342" t="s">
        <v>42</v>
      </c>
      <c r="L342" t="s">
        <v>42</v>
      </c>
      <c r="M342" t="s">
        <v>42</v>
      </c>
      <c r="N342" t="s">
        <v>122</v>
      </c>
    </row>
    <row r="343" spans="1:14" x14ac:dyDescent="0.25">
      <c r="A343" t="s">
        <v>40</v>
      </c>
      <c r="B343" s="5" t="s">
        <v>20</v>
      </c>
      <c r="C343" t="s">
        <v>121</v>
      </c>
      <c r="D343">
        <v>11.3</v>
      </c>
      <c r="E343">
        <f t="shared" si="11"/>
        <v>11.3</v>
      </c>
      <c r="F343" t="s">
        <v>42</v>
      </c>
      <c r="G343" t="s">
        <v>42</v>
      </c>
      <c r="H343" t="s">
        <v>42</v>
      </c>
      <c r="I343" t="s">
        <v>42</v>
      </c>
      <c r="J343" t="s">
        <v>42</v>
      </c>
      <c r="K343" t="s">
        <v>42</v>
      </c>
      <c r="L343" t="s">
        <v>42</v>
      </c>
      <c r="M343" t="s">
        <v>42</v>
      </c>
      <c r="N343" t="s">
        <v>122</v>
      </c>
    </row>
    <row r="344" spans="1:14" x14ac:dyDescent="0.25">
      <c r="A344" t="s">
        <v>40</v>
      </c>
      <c r="B344" s="5" t="s">
        <v>127</v>
      </c>
      <c r="C344" t="s">
        <v>121</v>
      </c>
      <c r="D344">
        <v>8.6999999999999993</v>
      </c>
      <c r="E344">
        <f t="shared" si="11"/>
        <v>8.6999999999999993</v>
      </c>
      <c r="F344" t="s">
        <v>42</v>
      </c>
      <c r="G344" t="s">
        <v>42</v>
      </c>
      <c r="H344" t="s">
        <v>42</v>
      </c>
      <c r="I344" t="s">
        <v>42</v>
      </c>
      <c r="J344" t="s">
        <v>42</v>
      </c>
      <c r="K344" t="s">
        <v>42</v>
      </c>
      <c r="L344" t="s">
        <v>42</v>
      </c>
      <c r="M344" t="s">
        <v>42</v>
      </c>
      <c r="N344" t="s">
        <v>122</v>
      </c>
    </row>
    <row r="345" spans="1:14" x14ac:dyDescent="0.25">
      <c r="A345" t="s">
        <v>40</v>
      </c>
      <c r="B345" s="5" t="s">
        <v>20</v>
      </c>
      <c r="C345" t="s">
        <v>121</v>
      </c>
      <c r="D345">
        <f>17.3+12.4</f>
        <v>29.700000000000003</v>
      </c>
      <c r="E345">
        <v>17.3</v>
      </c>
      <c r="F345">
        <v>12.4</v>
      </c>
      <c r="G345" t="s">
        <v>42</v>
      </c>
      <c r="H345" t="s">
        <v>42</v>
      </c>
      <c r="I345" t="s">
        <v>42</v>
      </c>
      <c r="J345" t="s">
        <v>42</v>
      </c>
      <c r="K345" t="s">
        <v>42</v>
      </c>
      <c r="L345" t="s">
        <v>42</v>
      </c>
      <c r="M345" t="s">
        <v>124</v>
      </c>
      <c r="N345" t="s">
        <v>122</v>
      </c>
    </row>
    <row r="346" spans="1:14" x14ac:dyDescent="0.25">
      <c r="A346" t="s">
        <v>40</v>
      </c>
      <c r="B346" s="5" t="s">
        <v>20</v>
      </c>
      <c r="C346" t="s">
        <v>121</v>
      </c>
      <c r="D346">
        <v>16.399999999999999</v>
      </c>
      <c r="E346">
        <f t="shared" ref="E346:E376" si="12">D346</f>
        <v>16.399999999999999</v>
      </c>
      <c r="F346" t="s">
        <v>42</v>
      </c>
      <c r="G346" t="s">
        <v>42</v>
      </c>
      <c r="H346" t="s">
        <v>42</v>
      </c>
      <c r="I346" t="s">
        <v>42</v>
      </c>
      <c r="J346" t="s">
        <v>42</v>
      </c>
      <c r="K346" t="s">
        <v>42</v>
      </c>
      <c r="L346" t="s">
        <v>42</v>
      </c>
      <c r="M346" t="s">
        <v>122</v>
      </c>
      <c r="N346" t="s">
        <v>122</v>
      </c>
    </row>
    <row r="347" spans="1:14" x14ac:dyDescent="0.25">
      <c r="A347" t="s">
        <v>40</v>
      </c>
      <c r="B347" s="5" t="s">
        <v>20</v>
      </c>
      <c r="C347" t="s">
        <v>121</v>
      </c>
      <c r="D347">
        <v>18.8</v>
      </c>
      <c r="E347">
        <f t="shared" si="12"/>
        <v>18.8</v>
      </c>
      <c r="F347" t="s">
        <v>42</v>
      </c>
      <c r="G347" t="s">
        <v>42</v>
      </c>
      <c r="H347" t="s">
        <v>42</v>
      </c>
      <c r="I347" t="s">
        <v>42</v>
      </c>
      <c r="J347" t="s">
        <v>42</v>
      </c>
      <c r="K347" t="s">
        <v>42</v>
      </c>
      <c r="L347" t="s">
        <v>42</v>
      </c>
      <c r="M347" t="s">
        <v>122</v>
      </c>
      <c r="N347" t="s">
        <v>122</v>
      </c>
    </row>
    <row r="348" spans="1:14" x14ac:dyDescent="0.25">
      <c r="A348" t="s">
        <v>40</v>
      </c>
      <c r="B348" s="5" t="s">
        <v>20</v>
      </c>
      <c r="C348" t="s">
        <v>121</v>
      </c>
      <c r="D348">
        <v>30.1</v>
      </c>
      <c r="E348">
        <f t="shared" si="12"/>
        <v>30.1</v>
      </c>
      <c r="F348" t="s">
        <v>42</v>
      </c>
      <c r="G348" t="s">
        <v>42</v>
      </c>
      <c r="H348" t="s">
        <v>42</v>
      </c>
      <c r="I348" t="s">
        <v>42</v>
      </c>
      <c r="J348" t="s">
        <v>42</v>
      </c>
      <c r="K348" t="s">
        <v>42</v>
      </c>
      <c r="L348" t="s">
        <v>42</v>
      </c>
      <c r="M348" t="s">
        <v>122</v>
      </c>
      <c r="N348" t="s">
        <v>122</v>
      </c>
    </row>
    <row r="349" spans="1:14" x14ac:dyDescent="0.25">
      <c r="A349" t="s">
        <v>40</v>
      </c>
      <c r="B349" s="5" t="s">
        <v>127</v>
      </c>
      <c r="C349" t="s">
        <v>121</v>
      </c>
      <c r="D349">
        <v>9.8000000000000007</v>
      </c>
      <c r="E349">
        <f t="shared" si="12"/>
        <v>9.8000000000000007</v>
      </c>
      <c r="F349" t="s">
        <v>42</v>
      </c>
      <c r="G349" t="s">
        <v>42</v>
      </c>
      <c r="H349" t="s">
        <v>42</v>
      </c>
      <c r="I349" t="s">
        <v>42</v>
      </c>
      <c r="J349" t="s">
        <v>42</v>
      </c>
      <c r="K349" t="s">
        <v>42</v>
      </c>
      <c r="L349" t="s">
        <v>42</v>
      </c>
      <c r="M349" t="s">
        <v>122</v>
      </c>
      <c r="N349" t="s">
        <v>122</v>
      </c>
    </row>
    <row r="350" spans="1:14" x14ac:dyDescent="0.25">
      <c r="A350" t="s">
        <v>40</v>
      </c>
      <c r="B350" s="5" t="s">
        <v>20</v>
      </c>
      <c r="C350" t="s">
        <v>121</v>
      </c>
      <c r="D350">
        <v>20.5</v>
      </c>
      <c r="E350">
        <f t="shared" si="12"/>
        <v>20.5</v>
      </c>
      <c r="F350" t="s">
        <v>42</v>
      </c>
      <c r="G350" t="s">
        <v>42</v>
      </c>
      <c r="H350" t="s">
        <v>42</v>
      </c>
      <c r="I350" t="s">
        <v>42</v>
      </c>
      <c r="J350" t="s">
        <v>42</v>
      </c>
      <c r="K350" t="s">
        <v>42</v>
      </c>
      <c r="L350" t="s">
        <v>42</v>
      </c>
      <c r="M350" t="s">
        <v>122</v>
      </c>
      <c r="N350" t="s">
        <v>122</v>
      </c>
    </row>
    <row r="351" spans="1:14" x14ac:dyDescent="0.25">
      <c r="A351" t="s">
        <v>40</v>
      </c>
      <c r="B351" s="5" t="s">
        <v>20</v>
      </c>
      <c r="C351" t="s">
        <v>121</v>
      </c>
      <c r="D351">
        <v>14.7</v>
      </c>
      <c r="E351">
        <f t="shared" si="12"/>
        <v>14.7</v>
      </c>
      <c r="F351" t="s">
        <v>42</v>
      </c>
      <c r="G351" t="s">
        <v>42</v>
      </c>
      <c r="H351" t="s">
        <v>42</v>
      </c>
      <c r="I351" t="s">
        <v>42</v>
      </c>
      <c r="J351" t="s">
        <v>42</v>
      </c>
      <c r="K351" t="s">
        <v>42</v>
      </c>
      <c r="L351" t="s">
        <v>42</v>
      </c>
      <c r="M351" t="s">
        <v>122</v>
      </c>
      <c r="N351" t="s">
        <v>122</v>
      </c>
    </row>
    <row r="352" spans="1:14" x14ac:dyDescent="0.25">
      <c r="A352" t="s">
        <v>40</v>
      </c>
      <c r="B352" s="5" t="s">
        <v>20</v>
      </c>
      <c r="C352" t="s">
        <v>121</v>
      </c>
      <c r="D352">
        <v>13.2</v>
      </c>
      <c r="E352">
        <f t="shared" si="12"/>
        <v>13.2</v>
      </c>
      <c r="F352" t="s">
        <v>42</v>
      </c>
      <c r="G352" t="s">
        <v>42</v>
      </c>
      <c r="H352" t="s">
        <v>42</v>
      </c>
      <c r="I352" t="s">
        <v>42</v>
      </c>
      <c r="J352" t="s">
        <v>42</v>
      </c>
      <c r="K352" t="s">
        <v>42</v>
      </c>
      <c r="L352" t="s">
        <v>42</v>
      </c>
      <c r="M352" t="s">
        <v>122</v>
      </c>
      <c r="N352" t="s">
        <v>122</v>
      </c>
    </row>
    <row r="353" spans="1:14" x14ac:dyDescent="0.25">
      <c r="A353" t="s">
        <v>40</v>
      </c>
      <c r="B353" s="5" t="s">
        <v>20</v>
      </c>
      <c r="C353" t="s">
        <v>121</v>
      </c>
      <c r="D353">
        <v>7.5</v>
      </c>
      <c r="E353">
        <f t="shared" si="12"/>
        <v>7.5</v>
      </c>
      <c r="F353" t="s">
        <v>42</v>
      </c>
      <c r="G353" t="s">
        <v>42</v>
      </c>
      <c r="H353" t="s">
        <v>42</v>
      </c>
      <c r="I353" t="s">
        <v>42</v>
      </c>
      <c r="J353" t="s">
        <v>42</v>
      </c>
      <c r="K353" t="s">
        <v>42</v>
      </c>
      <c r="L353" t="s">
        <v>42</v>
      </c>
      <c r="M353" t="s">
        <v>122</v>
      </c>
      <c r="N353" t="s">
        <v>122</v>
      </c>
    </row>
    <row r="354" spans="1:14" x14ac:dyDescent="0.25">
      <c r="A354" t="s">
        <v>40</v>
      </c>
      <c r="B354" s="5" t="s">
        <v>20</v>
      </c>
      <c r="C354" t="s">
        <v>121</v>
      </c>
      <c r="D354">
        <v>31.5</v>
      </c>
      <c r="E354">
        <f t="shared" si="12"/>
        <v>31.5</v>
      </c>
      <c r="F354" t="s">
        <v>42</v>
      </c>
      <c r="G354" t="s">
        <v>42</v>
      </c>
      <c r="H354" t="s">
        <v>42</v>
      </c>
      <c r="I354" t="s">
        <v>42</v>
      </c>
      <c r="J354" t="s">
        <v>42</v>
      </c>
      <c r="K354" t="s">
        <v>42</v>
      </c>
      <c r="L354" t="s">
        <v>42</v>
      </c>
      <c r="M354" t="s">
        <v>122</v>
      </c>
      <c r="N354" t="s">
        <v>122</v>
      </c>
    </row>
    <row r="355" spans="1:14" x14ac:dyDescent="0.25">
      <c r="A355" t="s">
        <v>40</v>
      </c>
      <c r="B355" s="5" t="s">
        <v>20</v>
      </c>
      <c r="C355" t="s">
        <v>121</v>
      </c>
      <c r="D355">
        <v>14.3</v>
      </c>
      <c r="E355">
        <f t="shared" si="12"/>
        <v>14.3</v>
      </c>
      <c r="F355" t="s">
        <v>42</v>
      </c>
      <c r="G355" t="s">
        <v>42</v>
      </c>
      <c r="H355" t="s">
        <v>42</v>
      </c>
      <c r="I355" t="s">
        <v>42</v>
      </c>
      <c r="J355" t="s">
        <v>42</v>
      </c>
      <c r="K355" t="s">
        <v>42</v>
      </c>
      <c r="L355" t="s">
        <v>42</v>
      </c>
      <c r="M355" t="s">
        <v>122</v>
      </c>
      <c r="N355" t="s">
        <v>122</v>
      </c>
    </row>
    <row r="356" spans="1:14" x14ac:dyDescent="0.25">
      <c r="A356" t="s">
        <v>40</v>
      </c>
      <c r="B356" s="5" t="s">
        <v>20</v>
      </c>
      <c r="C356" t="s">
        <v>121</v>
      </c>
      <c r="D356">
        <v>14.4</v>
      </c>
      <c r="E356">
        <f t="shared" si="12"/>
        <v>14.4</v>
      </c>
      <c r="F356" t="s">
        <v>42</v>
      </c>
      <c r="G356" t="s">
        <v>42</v>
      </c>
      <c r="H356" t="s">
        <v>42</v>
      </c>
      <c r="I356" t="s">
        <v>42</v>
      </c>
      <c r="J356" t="s">
        <v>42</v>
      </c>
      <c r="K356" t="s">
        <v>42</v>
      </c>
      <c r="L356" t="s">
        <v>42</v>
      </c>
      <c r="M356" t="s">
        <v>122</v>
      </c>
      <c r="N356" t="s">
        <v>122</v>
      </c>
    </row>
    <row r="357" spans="1:14" x14ac:dyDescent="0.25">
      <c r="A357" t="s">
        <v>40</v>
      </c>
      <c r="B357" s="5" t="s">
        <v>20</v>
      </c>
      <c r="C357" t="s">
        <v>121</v>
      </c>
      <c r="D357">
        <v>16.5</v>
      </c>
      <c r="E357">
        <f t="shared" si="12"/>
        <v>16.5</v>
      </c>
      <c r="F357" t="s">
        <v>42</v>
      </c>
      <c r="G357" t="s">
        <v>42</v>
      </c>
      <c r="H357" t="s">
        <v>42</v>
      </c>
      <c r="I357" t="s">
        <v>42</v>
      </c>
      <c r="J357" t="s">
        <v>42</v>
      </c>
      <c r="K357" t="s">
        <v>42</v>
      </c>
      <c r="L357" t="s">
        <v>42</v>
      </c>
      <c r="M357" t="s">
        <v>122</v>
      </c>
      <c r="N357" t="s">
        <v>122</v>
      </c>
    </row>
    <row r="358" spans="1:14" x14ac:dyDescent="0.25">
      <c r="A358" t="s">
        <v>40</v>
      </c>
      <c r="B358" s="5" t="s">
        <v>20</v>
      </c>
      <c r="C358" t="s">
        <v>121</v>
      </c>
      <c r="D358">
        <v>12.7</v>
      </c>
      <c r="E358">
        <f t="shared" si="12"/>
        <v>12.7</v>
      </c>
      <c r="F358" t="s">
        <v>42</v>
      </c>
      <c r="G358" t="s">
        <v>42</v>
      </c>
      <c r="H358" t="s">
        <v>42</v>
      </c>
      <c r="I358" t="s">
        <v>42</v>
      </c>
      <c r="J358" t="s">
        <v>42</v>
      </c>
      <c r="K358" t="s">
        <v>42</v>
      </c>
      <c r="L358" t="s">
        <v>42</v>
      </c>
      <c r="M358" t="s">
        <v>122</v>
      </c>
      <c r="N358" t="s">
        <v>122</v>
      </c>
    </row>
    <row r="359" spans="1:14" x14ac:dyDescent="0.25">
      <c r="A359" t="s">
        <v>40</v>
      </c>
      <c r="B359" s="5" t="s">
        <v>20</v>
      </c>
      <c r="C359" t="s">
        <v>121</v>
      </c>
      <c r="D359">
        <v>14.8</v>
      </c>
      <c r="E359">
        <f t="shared" si="12"/>
        <v>14.8</v>
      </c>
      <c r="F359" t="s">
        <v>42</v>
      </c>
      <c r="G359" t="s">
        <v>42</v>
      </c>
      <c r="H359" t="s">
        <v>42</v>
      </c>
      <c r="I359" t="s">
        <v>42</v>
      </c>
      <c r="J359" t="s">
        <v>42</v>
      </c>
      <c r="K359" t="s">
        <v>42</v>
      </c>
      <c r="L359" t="s">
        <v>42</v>
      </c>
      <c r="M359" t="s">
        <v>122</v>
      </c>
      <c r="N359" t="s">
        <v>122</v>
      </c>
    </row>
    <row r="360" spans="1:14" x14ac:dyDescent="0.25">
      <c r="A360" t="s">
        <v>40</v>
      </c>
      <c r="B360" s="5" t="s">
        <v>20</v>
      </c>
      <c r="C360" t="s">
        <v>121</v>
      </c>
      <c r="D360">
        <v>14.8</v>
      </c>
      <c r="E360">
        <f t="shared" si="12"/>
        <v>14.8</v>
      </c>
      <c r="F360" t="s">
        <v>42</v>
      </c>
      <c r="G360" t="s">
        <v>42</v>
      </c>
      <c r="H360" t="s">
        <v>42</v>
      </c>
      <c r="I360" t="s">
        <v>42</v>
      </c>
      <c r="J360" t="s">
        <v>42</v>
      </c>
      <c r="K360" t="s">
        <v>42</v>
      </c>
      <c r="L360" t="s">
        <v>42</v>
      </c>
      <c r="M360" t="s">
        <v>122</v>
      </c>
      <c r="N360" t="s">
        <v>122</v>
      </c>
    </row>
    <row r="361" spans="1:14" x14ac:dyDescent="0.25">
      <c r="A361" t="s">
        <v>40</v>
      </c>
      <c r="B361" s="5" t="s">
        <v>20</v>
      </c>
      <c r="C361" t="s">
        <v>121</v>
      </c>
      <c r="D361">
        <v>9</v>
      </c>
      <c r="E361">
        <f t="shared" si="12"/>
        <v>9</v>
      </c>
      <c r="F361" t="s">
        <v>42</v>
      </c>
      <c r="G361" t="s">
        <v>42</v>
      </c>
      <c r="H361" t="s">
        <v>42</v>
      </c>
      <c r="I361" t="s">
        <v>42</v>
      </c>
      <c r="J361" t="s">
        <v>42</v>
      </c>
      <c r="K361" t="s">
        <v>42</v>
      </c>
      <c r="L361" t="s">
        <v>42</v>
      </c>
      <c r="M361" t="s">
        <v>122</v>
      </c>
      <c r="N361" t="s">
        <v>122</v>
      </c>
    </row>
    <row r="362" spans="1:14" x14ac:dyDescent="0.25">
      <c r="A362" t="s">
        <v>40</v>
      </c>
      <c r="B362" s="5" t="s">
        <v>20</v>
      </c>
      <c r="C362" t="s">
        <v>121</v>
      </c>
      <c r="D362">
        <v>24.8</v>
      </c>
      <c r="E362">
        <f t="shared" si="12"/>
        <v>24.8</v>
      </c>
      <c r="F362" t="s">
        <v>42</v>
      </c>
      <c r="G362" t="s">
        <v>42</v>
      </c>
      <c r="H362" t="s">
        <v>42</v>
      </c>
      <c r="I362" t="s">
        <v>42</v>
      </c>
      <c r="J362" t="s">
        <v>42</v>
      </c>
      <c r="K362" t="s">
        <v>42</v>
      </c>
      <c r="L362" t="s">
        <v>42</v>
      </c>
      <c r="M362" t="s">
        <v>122</v>
      </c>
      <c r="N362" t="s">
        <v>122</v>
      </c>
    </row>
    <row r="363" spans="1:14" x14ac:dyDescent="0.25">
      <c r="A363" t="s">
        <v>40</v>
      </c>
      <c r="B363" s="5" t="s">
        <v>20</v>
      </c>
      <c r="C363" t="s">
        <v>121</v>
      </c>
      <c r="D363">
        <v>9</v>
      </c>
      <c r="E363">
        <f t="shared" si="12"/>
        <v>9</v>
      </c>
      <c r="F363" t="s">
        <v>42</v>
      </c>
      <c r="G363" t="s">
        <v>42</v>
      </c>
      <c r="H363" t="s">
        <v>42</v>
      </c>
      <c r="I363" t="s">
        <v>42</v>
      </c>
      <c r="J363" t="s">
        <v>42</v>
      </c>
      <c r="K363" t="s">
        <v>42</v>
      </c>
      <c r="L363" t="s">
        <v>42</v>
      </c>
      <c r="M363" t="s">
        <v>122</v>
      </c>
      <c r="N363" t="s">
        <v>122</v>
      </c>
    </row>
    <row r="364" spans="1:14" x14ac:dyDescent="0.25">
      <c r="A364" t="s">
        <v>40</v>
      </c>
      <c r="B364" s="5" t="s">
        <v>20</v>
      </c>
      <c r="C364" t="s">
        <v>121</v>
      </c>
      <c r="D364">
        <v>24.6</v>
      </c>
      <c r="E364">
        <f t="shared" si="12"/>
        <v>24.6</v>
      </c>
      <c r="F364" t="s">
        <v>42</v>
      </c>
      <c r="G364" t="s">
        <v>42</v>
      </c>
      <c r="H364" t="s">
        <v>42</v>
      </c>
      <c r="I364" t="s">
        <v>42</v>
      </c>
      <c r="J364" t="s">
        <v>42</v>
      </c>
      <c r="K364" t="s">
        <v>42</v>
      </c>
      <c r="L364" t="s">
        <v>42</v>
      </c>
      <c r="M364" t="s">
        <v>122</v>
      </c>
      <c r="N364" t="s">
        <v>122</v>
      </c>
    </row>
    <row r="365" spans="1:14" x14ac:dyDescent="0.25">
      <c r="A365" t="s">
        <v>40</v>
      </c>
      <c r="B365" s="5" t="s">
        <v>20</v>
      </c>
      <c r="C365" t="s">
        <v>121</v>
      </c>
      <c r="D365">
        <v>14.4</v>
      </c>
      <c r="E365">
        <f t="shared" si="12"/>
        <v>14.4</v>
      </c>
      <c r="F365" t="s">
        <v>42</v>
      </c>
      <c r="G365" t="s">
        <v>42</v>
      </c>
      <c r="H365" t="s">
        <v>42</v>
      </c>
      <c r="I365" t="s">
        <v>42</v>
      </c>
      <c r="J365" t="s">
        <v>42</v>
      </c>
      <c r="K365" t="s">
        <v>42</v>
      </c>
      <c r="L365" t="s">
        <v>42</v>
      </c>
      <c r="M365" t="s">
        <v>122</v>
      </c>
      <c r="N365" t="s">
        <v>122</v>
      </c>
    </row>
    <row r="366" spans="1:14" x14ac:dyDescent="0.25">
      <c r="A366" t="s">
        <v>40</v>
      </c>
      <c r="B366" s="5" t="s">
        <v>20</v>
      </c>
      <c r="C366" t="s">
        <v>121</v>
      </c>
      <c r="D366">
        <v>9.8000000000000007</v>
      </c>
      <c r="E366">
        <f t="shared" si="12"/>
        <v>9.8000000000000007</v>
      </c>
      <c r="F366" t="s">
        <v>42</v>
      </c>
      <c r="G366" t="s">
        <v>42</v>
      </c>
      <c r="H366" t="s">
        <v>42</v>
      </c>
      <c r="I366" t="s">
        <v>42</v>
      </c>
      <c r="J366" t="s">
        <v>42</v>
      </c>
      <c r="K366" t="s">
        <v>42</v>
      </c>
      <c r="L366" t="s">
        <v>42</v>
      </c>
      <c r="M366" t="s">
        <v>122</v>
      </c>
      <c r="N366" t="s">
        <v>122</v>
      </c>
    </row>
    <row r="367" spans="1:14" x14ac:dyDescent="0.25">
      <c r="A367" t="s">
        <v>40</v>
      </c>
      <c r="B367" s="5" t="s">
        <v>20</v>
      </c>
      <c r="C367" t="s">
        <v>121</v>
      </c>
      <c r="D367">
        <v>13.4</v>
      </c>
      <c r="E367">
        <f t="shared" si="12"/>
        <v>13.4</v>
      </c>
      <c r="F367" t="s">
        <v>42</v>
      </c>
      <c r="G367" t="s">
        <v>42</v>
      </c>
      <c r="H367" t="s">
        <v>42</v>
      </c>
      <c r="I367" t="s">
        <v>42</v>
      </c>
      <c r="J367" t="s">
        <v>42</v>
      </c>
      <c r="K367" t="s">
        <v>42</v>
      </c>
      <c r="L367" t="s">
        <v>42</v>
      </c>
      <c r="M367" t="s">
        <v>122</v>
      </c>
      <c r="N367" t="s">
        <v>122</v>
      </c>
    </row>
    <row r="368" spans="1:14" x14ac:dyDescent="0.25">
      <c r="A368" t="s">
        <v>40</v>
      </c>
      <c r="B368" s="5" t="s">
        <v>20</v>
      </c>
      <c r="C368" t="s">
        <v>121</v>
      </c>
      <c r="D368">
        <v>14.1</v>
      </c>
      <c r="E368">
        <f t="shared" si="12"/>
        <v>14.1</v>
      </c>
      <c r="F368" t="s">
        <v>42</v>
      </c>
      <c r="G368" t="s">
        <v>42</v>
      </c>
      <c r="H368" t="s">
        <v>42</v>
      </c>
      <c r="I368" t="s">
        <v>42</v>
      </c>
      <c r="J368" t="s">
        <v>42</v>
      </c>
      <c r="K368" t="s">
        <v>42</v>
      </c>
      <c r="L368" t="s">
        <v>42</v>
      </c>
      <c r="M368" t="s">
        <v>122</v>
      </c>
      <c r="N368" t="s">
        <v>122</v>
      </c>
    </row>
    <row r="369" spans="1:14" x14ac:dyDescent="0.25">
      <c r="A369" t="s">
        <v>40</v>
      </c>
      <c r="B369" s="5" t="s">
        <v>20</v>
      </c>
      <c r="C369" t="s">
        <v>121</v>
      </c>
      <c r="D369">
        <v>9.6</v>
      </c>
      <c r="E369">
        <f t="shared" si="12"/>
        <v>9.6</v>
      </c>
      <c r="F369" t="s">
        <v>42</v>
      </c>
      <c r="G369" t="s">
        <v>42</v>
      </c>
      <c r="H369" t="s">
        <v>42</v>
      </c>
      <c r="I369" t="s">
        <v>42</v>
      </c>
      <c r="J369" t="s">
        <v>42</v>
      </c>
      <c r="K369" t="s">
        <v>42</v>
      </c>
      <c r="L369" t="s">
        <v>42</v>
      </c>
      <c r="M369" t="s">
        <v>122</v>
      </c>
      <c r="N369" t="s">
        <v>122</v>
      </c>
    </row>
    <row r="370" spans="1:14" x14ac:dyDescent="0.25">
      <c r="A370" t="s">
        <v>40</v>
      </c>
      <c r="B370" s="5" t="s">
        <v>20</v>
      </c>
      <c r="C370" t="s">
        <v>121</v>
      </c>
      <c r="D370">
        <v>7.7</v>
      </c>
      <c r="E370">
        <f t="shared" si="12"/>
        <v>7.7</v>
      </c>
      <c r="F370" t="s">
        <v>42</v>
      </c>
      <c r="G370" t="s">
        <v>42</v>
      </c>
      <c r="H370" t="s">
        <v>42</v>
      </c>
      <c r="I370" t="s">
        <v>42</v>
      </c>
      <c r="J370" t="s">
        <v>42</v>
      </c>
      <c r="K370" t="s">
        <v>42</v>
      </c>
      <c r="L370" t="s">
        <v>42</v>
      </c>
      <c r="M370" t="s">
        <v>122</v>
      </c>
      <c r="N370" t="s">
        <v>122</v>
      </c>
    </row>
    <row r="371" spans="1:14" x14ac:dyDescent="0.25">
      <c r="A371" t="s">
        <v>40</v>
      </c>
      <c r="B371" s="5" t="s">
        <v>20</v>
      </c>
      <c r="C371" t="s">
        <v>121</v>
      </c>
      <c r="D371">
        <v>11.3</v>
      </c>
      <c r="E371">
        <f t="shared" si="12"/>
        <v>11.3</v>
      </c>
      <c r="F371" t="s">
        <v>42</v>
      </c>
      <c r="G371" t="s">
        <v>42</v>
      </c>
      <c r="H371" t="s">
        <v>42</v>
      </c>
      <c r="I371" t="s">
        <v>42</v>
      </c>
      <c r="J371" t="s">
        <v>42</v>
      </c>
      <c r="K371" t="s">
        <v>42</v>
      </c>
      <c r="L371" t="s">
        <v>42</v>
      </c>
      <c r="M371" t="s">
        <v>122</v>
      </c>
      <c r="N371" t="s">
        <v>122</v>
      </c>
    </row>
    <row r="372" spans="1:14" x14ac:dyDescent="0.25">
      <c r="A372" t="s">
        <v>40</v>
      </c>
      <c r="B372" s="5" t="s">
        <v>20</v>
      </c>
      <c r="C372" t="s">
        <v>121</v>
      </c>
      <c r="D372">
        <v>8.6999999999999993</v>
      </c>
      <c r="E372">
        <f t="shared" si="12"/>
        <v>8.6999999999999993</v>
      </c>
      <c r="F372" t="s">
        <v>42</v>
      </c>
      <c r="G372" t="s">
        <v>42</v>
      </c>
      <c r="H372" t="s">
        <v>42</v>
      </c>
      <c r="I372" t="s">
        <v>42</v>
      </c>
      <c r="J372" t="s">
        <v>42</v>
      </c>
      <c r="K372" t="s">
        <v>42</v>
      </c>
      <c r="L372" t="s">
        <v>42</v>
      </c>
      <c r="M372" t="s">
        <v>122</v>
      </c>
      <c r="N372" t="s">
        <v>122</v>
      </c>
    </row>
    <row r="373" spans="1:14" x14ac:dyDescent="0.25">
      <c r="A373" t="s">
        <v>40</v>
      </c>
      <c r="B373" s="5" t="s">
        <v>20</v>
      </c>
      <c r="C373" t="s">
        <v>121</v>
      </c>
      <c r="D373">
        <v>9.1999999999999993</v>
      </c>
      <c r="E373">
        <f t="shared" si="12"/>
        <v>9.1999999999999993</v>
      </c>
      <c r="F373" t="s">
        <v>42</v>
      </c>
      <c r="G373" t="s">
        <v>42</v>
      </c>
      <c r="H373" t="s">
        <v>42</v>
      </c>
      <c r="I373" t="s">
        <v>42</v>
      </c>
      <c r="J373" t="s">
        <v>42</v>
      </c>
      <c r="K373" t="s">
        <v>42</v>
      </c>
      <c r="L373" t="s">
        <v>42</v>
      </c>
      <c r="M373" t="s">
        <v>122</v>
      </c>
      <c r="N373" t="s">
        <v>122</v>
      </c>
    </row>
    <row r="374" spans="1:14" x14ac:dyDescent="0.25">
      <c r="A374" t="s">
        <v>40</v>
      </c>
      <c r="B374" s="5" t="s">
        <v>20</v>
      </c>
      <c r="C374" t="s">
        <v>121</v>
      </c>
      <c r="D374">
        <v>9.3000000000000007</v>
      </c>
      <c r="E374">
        <f t="shared" si="12"/>
        <v>9.3000000000000007</v>
      </c>
      <c r="F374" t="s">
        <v>42</v>
      </c>
      <c r="G374" t="s">
        <v>42</v>
      </c>
      <c r="H374" t="s">
        <v>42</v>
      </c>
      <c r="I374" t="s">
        <v>42</v>
      </c>
      <c r="J374" t="s">
        <v>42</v>
      </c>
      <c r="K374" t="s">
        <v>42</v>
      </c>
      <c r="L374" t="s">
        <v>42</v>
      </c>
      <c r="M374" t="s">
        <v>122</v>
      </c>
      <c r="N374" t="s">
        <v>122</v>
      </c>
    </row>
    <row r="375" spans="1:14" x14ac:dyDescent="0.25">
      <c r="A375" t="s">
        <v>40</v>
      </c>
      <c r="B375" s="5" t="s">
        <v>20</v>
      </c>
      <c r="C375" t="s">
        <v>121</v>
      </c>
      <c r="D375" t="s">
        <v>42</v>
      </c>
      <c r="E375" t="str">
        <f t="shared" si="12"/>
        <v>NA</v>
      </c>
      <c r="F375" t="s">
        <v>42</v>
      </c>
      <c r="G375" t="s">
        <v>42</v>
      </c>
      <c r="H375" t="s">
        <v>42</v>
      </c>
      <c r="I375" t="s">
        <v>42</v>
      </c>
      <c r="J375" t="s">
        <v>42</v>
      </c>
      <c r="K375" t="s">
        <v>42</v>
      </c>
      <c r="L375" t="s">
        <v>42</v>
      </c>
      <c r="M375" t="s">
        <v>122</v>
      </c>
      <c r="N375" t="s">
        <v>122</v>
      </c>
    </row>
    <row r="376" spans="1:14" x14ac:dyDescent="0.25">
      <c r="A376" t="s">
        <v>40</v>
      </c>
      <c r="B376" s="5" t="s">
        <v>20</v>
      </c>
      <c r="C376" t="s">
        <v>121</v>
      </c>
      <c r="D376" t="s">
        <v>42</v>
      </c>
      <c r="E376" t="str">
        <f t="shared" si="12"/>
        <v>NA</v>
      </c>
      <c r="F376" t="s">
        <v>42</v>
      </c>
      <c r="G376" t="s">
        <v>42</v>
      </c>
      <c r="H376" t="s">
        <v>42</v>
      </c>
      <c r="I376" t="s">
        <v>42</v>
      </c>
      <c r="J376" t="s">
        <v>42</v>
      </c>
      <c r="K376" t="s">
        <v>42</v>
      </c>
      <c r="L376" t="s">
        <v>42</v>
      </c>
      <c r="M376" t="s">
        <v>122</v>
      </c>
      <c r="N376" t="s">
        <v>122</v>
      </c>
    </row>
    <row r="377" spans="1:14" x14ac:dyDescent="0.25">
      <c r="A377" t="s">
        <v>41</v>
      </c>
      <c r="B377" s="5" t="s">
        <v>20</v>
      </c>
      <c r="C377" t="s">
        <v>121</v>
      </c>
      <c r="D377">
        <f>23.3+22.3+24.8</f>
        <v>70.400000000000006</v>
      </c>
      <c r="E377">
        <v>23.3</v>
      </c>
      <c r="F377">
        <v>22.3</v>
      </c>
      <c r="G377">
        <v>24.8</v>
      </c>
      <c r="H377" t="s">
        <v>42</v>
      </c>
      <c r="I377" t="s">
        <v>42</v>
      </c>
      <c r="J377" t="s">
        <v>42</v>
      </c>
      <c r="K377" t="s">
        <v>42</v>
      </c>
      <c r="L377" t="s">
        <v>42</v>
      </c>
      <c r="M377" t="s">
        <v>125</v>
      </c>
      <c r="N377" t="s">
        <v>122</v>
      </c>
    </row>
    <row r="378" spans="1:14" x14ac:dyDescent="0.25">
      <c r="A378" t="s">
        <v>41</v>
      </c>
      <c r="B378" s="5" t="s">
        <v>20</v>
      </c>
      <c r="C378" t="s">
        <v>121</v>
      </c>
      <c r="D378">
        <v>16.899999999999999</v>
      </c>
      <c r="E378">
        <f>D378</f>
        <v>16.899999999999999</v>
      </c>
      <c r="F378" t="s">
        <v>42</v>
      </c>
      <c r="G378" t="s">
        <v>42</v>
      </c>
      <c r="H378" t="s">
        <v>42</v>
      </c>
      <c r="I378" t="s">
        <v>42</v>
      </c>
      <c r="J378" t="s">
        <v>42</v>
      </c>
      <c r="K378" t="s">
        <v>42</v>
      </c>
      <c r="L378" t="s">
        <v>42</v>
      </c>
      <c r="M378" t="s">
        <v>122</v>
      </c>
      <c r="N378" t="s">
        <v>122</v>
      </c>
    </row>
    <row r="379" spans="1:14" x14ac:dyDescent="0.25">
      <c r="A379" t="s">
        <v>41</v>
      </c>
      <c r="B379" s="5" t="s">
        <v>20</v>
      </c>
      <c r="C379" t="s">
        <v>121</v>
      </c>
      <c r="D379">
        <f>15.2+26</f>
        <v>41.2</v>
      </c>
      <c r="E379">
        <v>15.2</v>
      </c>
      <c r="F379">
        <v>26</v>
      </c>
      <c r="G379" t="s">
        <v>42</v>
      </c>
      <c r="H379" t="s">
        <v>42</v>
      </c>
      <c r="I379" t="s">
        <v>42</v>
      </c>
      <c r="J379" t="s">
        <v>42</v>
      </c>
      <c r="K379" t="s">
        <v>42</v>
      </c>
      <c r="L379" t="s">
        <v>42</v>
      </c>
      <c r="M379" t="s">
        <v>124</v>
      </c>
      <c r="N379" t="s">
        <v>122</v>
      </c>
    </row>
    <row r="380" spans="1:14" x14ac:dyDescent="0.25">
      <c r="A380" t="s">
        <v>41</v>
      </c>
      <c r="B380" s="5" t="s">
        <v>20</v>
      </c>
      <c r="C380" t="s">
        <v>121</v>
      </c>
      <c r="D380">
        <v>13.9</v>
      </c>
      <c r="E380">
        <f t="shared" ref="E380:E381" si="13">D380</f>
        <v>13.9</v>
      </c>
      <c r="F380" t="s">
        <v>42</v>
      </c>
      <c r="G380" t="s">
        <v>42</v>
      </c>
      <c r="H380" t="s">
        <v>42</v>
      </c>
      <c r="I380" t="s">
        <v>42</v>
      </c>
      <c r="J380" t="s">
        <v>42</v>
      </c>
      <c r="K380" t="s">
        <v>42</v>
      </c>
      <c r="L380" t="s">
        <v>42</v>
      </c>
      <c r="M380" t="s">
        <v>122</v>
      </c>
      <c r="N380" t="s">
        <v>122</v>
      </c>
    </row>
    <row r="381" spans="1:14" x14ac:dyDescent="0.25">
      <c r="A381" t="s">
        <v>41</v>
      </c>
      <c r="B381" s="5" t="s">
        <v>20</v>
      </c>
      <c r="C381" t="s">
        <v>121</v>
      </c>
      <c r="D381">
        <v>32.5</v>
      </c>
      <c r="E381">
        <f t="shared" si="13"/>
        <v>32.5</v>
      </c>
      <c r="F381" t="s">
        <v>42</v>
      </c>
      <c r="G381" t="s">
        <v>42</v>
      </c>
      <c r="H381" t="s">
        <v>42</v>
      </c>
      <c r="I381" t="s">
        <v>42</v>
      </c>
      <c r="J381" t="s">
        <v>42</v>
      </c>
      <c r="K381" t="s">
        <v>42</v>
      </c>
      <c r="L381" t="s">
        <v>42</v>
      </c>
      <c r="M381" t="s">
        <v>122</v>
      </c>
      <c r="N381" t="s">
        <v>122</v>
      </c>
    </row>
    <row r="382" spans="1:14" x14ac:dyDescent="0.25">
      <c r="A382" t="s">
        <v>41</v>
      </c>
      <c r="B382" s="5" t="s">
        <v>20</v>
      </c>
      <c r="C382" t="s">
        <v>121</v>
      </c>
      <c r="D382">
        <f>8.1+11.8</f>
        <v>19.899999999999999</v>
      </c>
      <c r="E382">
        <v>8.1</v>
      </c>
      <c r="F382">
        <v>11.8</v>
      </c>
      <c r="G382" t="s">
        <v>42</v>
      </c>
      <c r="H382" t="s">
        <v>42</v>
      </c>
      <c r="I382" t="s">
        <v>42</v>
      </c>
      <c r="J382" t="s">
        <v>42</v>
      </c>
      <c r="K382" t="s">
        <v>42</v>
      </c>
      <c r="L382" t="s">
        <v>42</v>
      </c>
      <c r="M382" t="s">
        <v>124</v>
      </c>
      <c r="N382" t="s">
        <v>122</v>
      </c>
    </row>
    <row r="383" spans="1:14" x14ac:dyDescent="0.25">
      <c r="A383" t="s">
        <v>41</v>
      </c>
      <c r="B383" s="5" t="s">
        <v>20</v>
      </c>
      <c r="C383" t="s">
        <v>121</v>
      </c>
      <c r="D383">
        <f>22.8+17.8</f>
        <v>40.6</v>
      </c>
      <c r="E383">
        <v>22.8</v>
      </c>
      <c r="F383">
        <v>17.8</v>
      </c>
      <c r="G383" t="s">
        <v>42</v>
      </c>
      <c r="H383" t="s">
        <v>42</v>
      </c>
      <c r="I383" t="s">
        <v>42</v>
      </c>
      <c r="J383" t="s">
        <v>42</v>
      </c>
      <c r="K383" t="s">
        <v>42</v>
      </c>
      <c r="L383" t="s">
        <v>42</v>
      </c>
      <c r="M383" t="s">
        <v>124</v>
      </c>
      <c r="N383" t="s">
        <v>122</v>
      </c>
    </row>
    <row r="384" spans="1:14" x14ac:dyDescent="0.25">
      <c r="A384" t="s">
        <v>41</v>
      </c>
      <c r="B384" s="5" t="s">
        <v>20</v>
      </c>
      <c r="C384" t="s">
        <v>121</v>
      </c>
      <c r="D384">
        <f>17+12.2</f>
        <v>29.2</v>
      </c>
      <c r="E384">
        <v>17</v>
      </c>
      <c r="F384">
        <v>12.2</v>
      </c>
      <c r="G384" t="s">
        <v>42</v>
      </c>
      <c r="H384" t="s">
        <v>42</v>
      </c>
      <c r="I384" t="s">
        <v>42</v>
      </c>
      <c r="J384" t="s">
        <v>42</v>
      </c>
      <c r="K384" t="s">
        <v>42</v>
      </c>
      <c r="L384" t="s">
        <v>42</v>
      </c>
      <c r="M384" t="s">
        <v>124</v>
      </c>
      <c r="N384" t="s">
        <v>122</v>
      </c>
    </row>
    <row r="385" spans="1:14" x14ac:dyDescent="0.25">
      <c r="A385" t="s">
        <v>41</v>
      </c>
      <c r="B385" s="5" t="s">
        <v>20</v>
      </c>
      <c r="C385" t="s">
        <v>121</v>
      </c>
      <c r="D385">
        <f>13.8+9.1+8.2</f>
        <v>31.099999999999998</v>
      </c>
      <c r="E385">
        <v>13.8</v>
      </c>
      <c r="F385">
        <v>9.1</v>
      </c>
      <c r="G385">
        <v>8.1999999999999993</v>
      </c>
      <c r="H385" t="s">
        <v>42</v>
      </c>
      <c r="I385" t="s">
        <v>42</v>
      </c>
      <c r="J385" t="s">
        <v>42</v>
      </c>
      <c r="K385" t="s">
        <v>42</v>
      </c>
      <c r="L385" t="s">
        <v>42</v>
      </c>
      <c r="M385" t="s">
        <v>125</v>
      </c>
      <c r="N385" t="s">
        <v>122</v>
      </c>
    </row>
    <row r="386" spans="1:14" x14ac:dyDescent="0.25">
      <c r="A386" t="s">
        <v>41</v>
      </c>
      <c r="B386" s="5" t="s">
        <v>20</v>
      </c>
      <c r="C386" t="s">
        <v>121</v>
      </c>
      <c r="D386">
        <v>8.5</v>
      </c>
      <c r="E386">
        <f t="shared" ref="E386:E398" si="14">D386</f>
        <v>8.5</v>
      </c>
      <c r="F386" t="s">
        <v>42</v>
      </c>
      <c r="G386" t="s">
        <v>42</v>
      </c>
      <c r="H386" t="s">
        <v>42</v>
      </c>
      <c r="I386" t="s">
        <v>42</v>
      </c>
      <c r="J386" t="s">
        <v>42</v>
      </c>
      <c r="K386" t="s">
        <v>42</v>
      </c>
      <c r="L386" t="s">
        <v>42</v>
      </c>
      <c r="M386" t="s">
        <v>122</v>
      </c>
      <c r="N386" t="s">
        <v>122</v>
      </c>
    </row>
    <row r="387" spans="1:14" x14ac:dyDescent="0.25">
      <c r="A387" t="s">
        <v>41</v>
      </c>
      <c r="B387" s="5" t="s">
        <v>20</v>
      </c>
      <c r="C387" t="s">
        <v>121</v>
      </c>
      <c r="D387">
        <v>17.600000000000001</v>
      </c>
      <c r="E387">
        <f t="shared" si="14"/>
        <v>17.600000000000001</v>
      </c>
      <c r="F387" t="s">
        <v>42</v>
      </c>
      <c r="G387" t="s">
        <v>42</v>
      </c>
      <c r="H387" t="s">
        <v>42</v>
      </c>
      <c r="I387" t="s">
        <v>42</v>
      </c>
      <c r="J387" t="s">
        <v>42</v>
      </c>
      <c r="K387" t="s">
        <v>42</v>
      </c>
      <c r="L387" t="s">
        <v>42</v>
      </c>
      <c r="M387" t="s">
        <v>122</v>
      </c>
      <c r="N387" t="s">
        <v>122</v>
      </c>
    </row>
    <row r="388" spans="1:14" x14ac:dyDescent="0.25">
      <c r="A388" t="s">
        <v>41</v>
      </c>
      <c r="B388" s="5" t="s">
        <v>20</v>
      </c>
      <c r="C388" t="s">
        <v>121</v>
      </c>
      <c r="D388">
        <v>8.4</v>
      </c>
      <c r="E388">
        <f t="shared" si="14"/>
        <v>8.4</v>
      </c>
      <c r="F388" t="s">
        <v>42</v>
      </c>
      <c r="G388" t="s">
        <v>42</v>
      </c>
      <c r="H388" t="s">
        <v>42</v>
      </c>
      <c r="I388" t="s">
        <v>42</v>
      </c>
      <c r="J388" t="s">
        <v>42</v>
      </c>
      <c r="K388" t="s">
        <v>42</v>
      </c>
      <c r="L388" t="s">
        <v>42</v>
      </c>
      <c r="M388" t="s">
        <v>122</v>
      </c>
      <c r="N388" t="s">
        <v>122</v>
      </c>
    </row>
    <row r="389" spans="1:14" x14ac:dyDescent="0.25">
      <c r="A389" t="s">
        <v>41</v>
      </c>
      <c r="B389" s="5" t="s">
        <v>20</v>
      </c>
      <c r="C389" t="s">
        <v>121</v>
      </c>
      <c r="D389">
        <v>10.1</v>
      </c>
      <c r="E389">
        <f t="shared" si="14"/>
        <v>10.1</v>
      </c>
      <c r="F389" t="s">
        <v>42</v>
      </c>
      <c r="G389" t="s">
        <v>42</v>
      </c>
      <c r="H389" t="s">
        <v>42</v>
      </c>
      <c r="I389" t="s">
        <v>42</v>
      </c>
      <c r="J389" t="s">
        <v>42</v>
      </c>
      <c r="K389" t="s">
        <v>42</v>
      </c>
      <c r="L389" t="s">
        <v>42</v>
      </c>
      <c r="M389" t="s">
        <v>122</v>
      </c>
      <c r="N389" t="s">
        <v>122</v>
      </c>
    </row>
    <row r="390" spans="1:14" x14ac:dyDescent="0.25">
      <c r="A390" t="s">
        <v>41</v>
      </c>
      <c r="B390" s="5" t="s">
        <v>20</v>
      </c>
      <c r="C390" t="s">
        <v>121</v>
      </c>
      <c r="D390">
        <v>8.11</v>
      </c>
      <c r="E390">
        <f t="shared" si="14"/>
        <v>8.11</v>
      </c>
      <c r="F390" t="s">
        <v>42</v>
      </c>
      <c r="G390" t="s">
        <v>42</v>
      </c>
      <c r="H390" t="s">
        <v>42</v>
      </c>
      <c r="I390" t="s">
        <v>42</v>
      </c>
      <c r="J390" t="s">
        <v>42</v>
      </c>
      <c r="K390" t="s">
        <v>42</v>
      </c>
      <c r="L390" t="s">
        <v>42</v>
      </c>
      <c r="M390" t="s">
        <v>122</v>
      </c>
      <c r="N390" t="s">
        <v>122</v>
      </c>
    </row>
    <row r="391" spans="1:14" x14ac:dyDescent="0.25">
      <c r="A391" t="s">
        <v>41</v>
      </c>
      <c r="B391" s="5" t="s">
        <v>20</v>
      </c>
      <c r="C391" t="s">
        <v>121</v>
      </c>
      <c r="D391">
        <v>8.6</v>
      </c>
      <c r="E391">
        <f t="shared" si="14"/>
        <v>8.6</v>
      </c>
      <c r="F391" t="s">
        <v>42</v>
      </c>
      <c r="G391" t="s">
        <v>42</v>
      </c>
      <c r="H391" t="s">
        <v>42</v>
      </c>
      <c r="I391" t="s">
        <v>42</v>
      </c>
      <c r="J391" t="s">
        <v>42</v>
      </c>
      <c r="K391" t="s">
        <v>42</v>
      </c>
      <c r="L391" t="s">
        <v>42</v>
      </c>
      <c r="M391" t="s">
        <v>122</v>
      </c>
      <c r="N391" t="s">
        <v>122</v>
      </c>
    </row>
    <row r="392" spans="1:14" x14ac:dyDescent="0.25">
      <c r="A392" t="s">
        <v>41</v>
      </c>
      <c r="B392" s="5" t="s">
        <v>20</v>
      </c>
      <c r="C392" t="s">
        <v>121</v>
      </c>
      <c r="D392">
        <v>23.7</v>
      </c>
      <c r="E392">
        <f t="shared" si="14"/>
        <v>23.7</v>
      </c>
      <c r="F392" t="s">
        <v>42</v>
      </c>
      <c r="G392" t="s">
        <v>42</v>
      </c>
      <c r="H392" t="s">
        <v>42</v>
      </c>
      <c r="I392" t="s">
        <v>42</v>
      </c>
      <c r="J392" t="s">
        <v>42</v>
      </c>
      <c r="K392" t="s">
        <v>42</v>
      </c>
      <c r="L392" t="s">
        <v>42</v>
      </c>
      <c r="M392" t="s">
        <v>122</v>
      </c>
      <c r="N392" t="s">
        <v>122</v>
      </c>
    </row>
    <row r="393" spans="1:14" x14ac:dyDescent="0.25">
      <c r="A393" t="s">
        <v>41</v>
      </c>
      <c r="B393" s="5" t="s">
        <v>20</v>
      </c>
      <c r="C393" t="s">
        <v>121</v>
      </c>
      <c r="D393">
        <v>17.899999999999999</v>
      </c>
      <c r="E393">
        <f t="shared" si="14"/>
        <v>17.899999999999999</v>
      </c>
      <c r="F393" t="s">
        <v>42</v>
      </c>
      <c r="G393" t="s">
        <v>42</v>
      </c>
      <c r="H393" t="s">
        <v>42</v>
      </c>
      <c r="I393" t="s">
        <v>42</v>
      </c>
      <c r="J393" t="s">
        <v>42</v>
      </c>
      <c r="K393" t="s">
        <v>42</v>
      </c>
      <c r="L393" t="s">
        <v>42</v>
      </c>
      <c r="M393" t="s">
        <v>122</v>
      </c>
      <c r="N393" t="s">
        <v>122</v>
      </c>
    </row>
    <row r="394" spans="1:14" x14ac:dyDescent="0.25">
      <c r="A394" t="s">
        <v>41</v>
      </c>
      <c r="B394" s="5" t="s">
        <v>20</v>
      </c>
      <c r="C394" t="s">
        <v>121</v>
      </c>
      <c r="D394">
        <v>18.3</v>
      </c>
      <c r="E394">
        <f t="shared" si="14"/>
        <v>18.3</v>
      </c>
      <c r="F394" t="s">
        <v>42</v>
      </c>
      <c r="G394" t="s">
        <v>42</v>
      </c>
      <c r="H394" t="s">
        <v>42</v>
      </c>
      <c r="I394" t="s">
        <v>42</v>
      </c>
      <c r="J394" t="s">
        <v>42</v>
      </c>
      <c r="K394" t="s">
        <v>42</v>
      </c>
      <c r="L394" t="s">
        <v>42</v>
      </c>
      <c r="M394" t="s">
        <v>122</v>
      </c>
      <c r="N394" t="s">
        <v>122</v>
      </c>
    </row>
    <row r="395" spans="1:14" x14ac:dyDescent="0.25">
      <c r="A395" t="s">
        <v>41</v>
      </c>
      <c r="B395" s="5" t="s">
        <v>20</v>
      </c>
      <c r="C395" t="s">
        <v>121</v>
      </c>
      <c r="D395">
        <v>16.600000000000001</v>
      </c>
      <c r="E395">
        <f t="shared" si="14"/>
        <v>16.600000000000001</v>
      </c>
      <c r="F395" t="s">
        <v>42</v>
      </c>
      <c r="G395" t="s">
        <v>42</v>
      </c>
      <c r="H395" t="s">
        <v>42</v>
      </c>
      <c r="I395" t="s">
        <v>42</v>
      </c>
      <c r="J395" t="s">
        <v>42</v>
      </c>
      <c r="K395" t="s">
        <v>42</v>
      </c>
      <c r="L395" t="s">
        <v>42</v>
      </c>
      <c r="M395" t="s">
        <v>122</v>
      </c>
      <c r="N395" t="s">
        <v>122</v>
      </c>
    </row>
    <row r="396" spans="1:14" x14ac:dyDescent="0.25">
      <c r="A396" t="s">
        <v>41</v>
      </c>
      <c r="B396" s="5" t="s">
        <v>20</v>
      </c>
      <c r="C396" t="s">
        <v>121</v>
      </c>
      <c r="D396">
        <v>12.9</v>
      </c>
      <c r="E396">
        <f t="shared" si="14"/>
        <v>12.9</v>
      </c>
      <c r="F396" t="s">
        <v>42</v>
      </c>
      <c r="G396" t="s">
        <v>42</v>
      </c>
      <c r="H396" t="s">
        <v>42</v>
      </c>
      <c r="I396" t="s">
        <v>42</v>
      </c>
      <c r="J396" t="s">
        <v>42</v>
      </c>
      <c r="K396" t="s">
        <v>42</v>
      </c>
      <c r="L396" t="s">
        <v>42</v>
      </c>
      <c r="M396" t="s">
        <v>122</v>
      </c>
      <c r="N396" t="s">
        <v>122</v>
      </c>
    </row>
    <row r="397" spans="1:14" x14ac:dyDescent="0.25">
      <c r="A397" t="s">
        <v>41</v>
      </c>
      <c r="B397" s="5" t="s">
        <v>20</v>
      </c>
      <c r="C397" t="s">
        <v>121</v>
      </c>
      <c r="D397">
        <v>10.6</v>
      </c>
      <c r="E397">
        <f t="shared" si="14"/>
        <v>10.6</v>
      </c>
      <c r="F397" t="s">
        <v>42</v>
      </c>
      <c r="G397" t="s">
        <v>42</v>
      </c>
      <c r="H397" t="s">
        <v>42</v>
      </c>
      <c r="I397" t="s">
        <v>42</v>
      </c>
      <c r="J397" t="s">
        <v>42</v>
      </c>
      <c r="K397" t="s">
        <v>42</v>
      </c>
      <c r="L397" t="s">
        <v>42</v>
      </c>
      <c r="M397" t="s">
        <v>122</v>
      </c>
      <c r="N397" t="s">
        <v>122</v>
      </c>
    </row>
    <row r="398" spans="1:14" x14ac:dyDescent="0.25">
      <c r="A398" t="s">
        <v>41</v>
      </c>
      <c r="B398" s="5" t="s">
        <v>20</v>
      </c>
      <c r="C398" t="s">
        <v>121</v>
      </c>
      <c r="D398">
        <v>14.6</v>
      </c>
      <c r="E398">
        <f t="shared" si="14"/>
        <v>14.6</v>
      </c>
      <c r="F398" t="s">
        <v>42</v>
      </c>
      <c r="G398" t="s">
        <v>42</v>
      </c>
      <c r="H398" t="s">
        <v>42</v>
      </c>
      <c r="I398" t="s">
        <v>42</v>
      </c>
      <c r="J398" t="s">
        <v>42</v>
      </c>
      <c r="K398" t="s">
        <v>42</v>
      </c>
      <c r="L398" t="s">
        <v>42</v>
      </c>
      <c r="M398" t="s">
        <v>122</v>
      </c>
      <c r="N398" t="s">
        <v>122</v>
      </c>
    </row>
    <row r="399" spans="1:14" x14ac:dyDescent="0.25">
      <c r="A399" t="s">
        <v>41</v>
      </c>
      <c r="B399" s="5" t="s">
        <v>20</v>
      </c>
      <c r="C399" t="s">
        <v>121</v>
      </c>
      <c r="D399">
        <f>11.1+14.3+14.3</f>
        <v>39.700000000000003</v>
      </c>
      <c r="E399">
        <v>11.1</v>
      </c>
      <c r="F399">
        <v>14.3</v>
      </c>
      <c r="G399">
        <v>14.3</v>
      </c>
      <c r="H399" t="s">
        <v>42</v>
      </c>
      <c r="I399" t="s">
        <v>42</v>
      </c>
      <c r="J399" t="s">
        <v>42</v>
      </c>
      <c r="K399" t="s">
        <v>42</v>
      </c>
      <c r="L399" t="s">
        <v>42</v>
      </c>
      <c r="M399" t="s">
        <v>125</v>
      </c>
      <c r="N399" t="s">
        <v>122</v>
      </c>
    </row>
    <row r="400" spans="1:14" x14ac:dyDescent="0.25">
      <c r="A400" t="s">
        <v>41</v>
      </c>
      <c r="B400" s="5" t="s">
        <v>20</v>
      </c>
      <c r="C400" t="s">
        <v>121</v>
      </c>
      <c r="D400">
        <v>12.2</v>
      </c>
      <c r="E400">
        <f t="shared" ref="E400:E404" si="15">D400</f>
        <v>12.2</v>
      </c>
      <c r="F400" t="s">
        <v>42</v>
      </c>
      <c r="G400" t="s">
        <v>42</v>
      </c>
      <c r="H400" t="s">
        <v>42</v>
      </c>
      <c r="I400" t="s">
        <v>42</v>
      </c>
      <c r="J400" t="s">
        <v>42</v>
      </c>
      <c r="K400" t="s">
        <v>42</v>
      </c>
      <c r="L400" t="s">
        <v>42</v>
      </c>
      <c r="M400" t="s">
        <v>122</v>
      </c>
      <c r="N400" t="s">
        <v>122</v>
      </c>
    </row>
    <row r="401" spans="1:14" x14ac:dyDescent="0.25">
      <c r="A401" t="s">
        <v>41</v>
      </c>
      <c r="B401" s="5" t="s">
        <v>20</v>
      </c>
      <c r="C401" t="s">
        <v>121</v>
      </c>
      <c r="D401">
        <v>14.7</v>
      </c>
      <c r="E401">
        <f t="shared" si="15"/>
        <v>14.7</v>
      </c>
      <c r="F401" t="s">
        <v>42</v>
      </c>
      <c r="G401" t="s">
        <v>42</v>
      </c>
      <c r="H401" t="s">
        <v>42</v>
      </c>
      <c r="I401" t="s">
        <v>42</v>
      </c>
      <c r="J401" t="s">
        <v>42</v>
      </c>
      <c r="K401" t="s">
        <v>42</v>
      </c>
      <c r="L401" t="s">
        <v>42</v>
      </c>
      <c r="M401" t="s">
        <v>122</v>
      </c>
      <c r="N401" t="s">
        <v>122</v>
      </c>
    </row>
    <row r="402" spans="1:14" x14ac:dyDescent="0.25">
      <c r="A402" t="s">
        <v>41</v>
      </c>
      <c r="B402" s="5" t="s">
        <v>20</v>
      </c>
      <c r="C402" t="s">
        <v>121</v>
      </c>
      <c r="D402">
        <v>8.3000000000000007</v>
      </c>
      <c r="E402">
        <f t="shared" si="15"/>
        <v>8.3000000000000007</v>
      </c>
      <c r="F402" t="s">
        <v>42</v>
      </c>
      <c r="G402" t="s">
        <v>42</v>
      </c>
      <c r="H402" t="s">
        <v>42</v>
      </c>
      <c r="I402" t="s">
        <v>42</v>
      </c>
      <c r="J402" t="s">
        <v>42</v>
      </c>
      <c r="K402" t="s">
        <v>42</v>
      </c>
      <c r="L402" t="s">
        <v>42</v>
      </c>
      <c r="M402" t="s">
        <v>122</v>
      </c>
      <c r="N402" t="s">
        <v>122</v>
      </c>
    </row>
    <row r="403" spans="1:14" x14ac:dyDescent="0.25">
      <c r="A403" t="s">
        <v>41</v>
      </c>
      <c r="B403" s="5" t="s">
        <v>20</v>
      </c>
      <c r="C403" t="s">
        <v>121</v>
      </c>
      <c r="D403">
        <v>9.8000000000000007</v>
      </c>
      <c r="E403">
        <f t="shared" si="15"/>
        <v>9.8000000000000007</v>
      </c>
      <c r="F403" t="s">
        <v>42</v>
      </c>
      <c r="G403" t="s">
        <v>42</v>
      </c>
      <c r="H403" t="s">
        <v>42</v>
      </c>
      <c r="I403" t="s">
        <v>42</v>
      </c>
      <c r="J403" t="s">
        <v>42</v>
      </c>
      <c r="K403" t="s">
        <v>42</v>
      </c>
      <c r="L403" t="s">
        <v>42</v>
      </c>
      <c r="M403" t="s">
        <v>122</v>
      </c>
      <c r="N403" t="s">
        <v>122</v>
      </c>
    </row>
    <row r="404" spans="1:14" x14ac:dyDescent="0.25">
      <c r="A404" t="s">
        <v>41</v>
      </c>
      <c r="B404" s="5" t="s">
        <v>20</v>
      </c>
      <c r="C404" t="s">
        <v>121</v>
      </c>
      <c r="D404">
        <v>11.8</v>
      </c>
      <c r="E404">
        <f t="shared" si="15"/>
        <v>11.8</v>
      </c>
      <c r="F404" t="s">
        <v>42</v>
      </c>
      <c r="G404" t="s">
        <v>42</v>
      </c>
      <c r="H404" t="s">
        <v>42</v>
      </c>
      <c r="I404" t="s">
        <v>42</v>
      </c>
      <c r="J404" t="s">
        <v>42</v>
      </c>
      <c r="K404" t="s">
        <v>42</v>
      </c>
      <c r="L404" t="s">
        <v>42</v>
      </c>
      <c r="M404" t="s">
        <v>122</v>
      </c>
      <c r="N404" t="s">
        <v>122</v>
      </c>
    </row>
    <row r="405" spans="1:14" x14ac:dyDescent="0.25">
      <c r="A405" t="s">
        <v>41</v>
      </c>
      <c r="B405" s="5" t="s">
        <v>20</v>
      </c>
      <c r="C405" t="s">
        <v>121</v>
      </c>
      <c r="D405">
        <f>24.3+25.8</f>
        <v>50.1</v>
      </c>
      <c r="E405">
        <v>24.3</v>
      </c>
      <c r="F405">
        <v>25.8</v>
      </c>
      <c r="G405" t="s">
        <v>42</v>
      </c>
      <c r="H405" t="s">
        <v>42</v>
      </c>
      <c r="I405" t="s">
        <v>42</v>
      </c>
      <c r="J405" t="s">
        <v>42</v>
      </c>
      <c r="K405" t="s">
        <v>42</v>
      </c>
      <c r="L405" t="s">
        <v>42</v>
      </c>
      <c r="M405" t="s">
        <v>124</v>
      </c>
      <c r="N405" t="s">
        <v>122</v>
      </c>
    </row>
    <row r="406" spans="1:14" x14ac:dyDescent="0.25">
      <c r="A406" t="s">
        <v>41</v>
      </c>
      <c r="B406" s="5" t="s">
        <v>20</v>
      </c>
      <c r="C406" t="s">
        <v>121</v>
      </c>
      <c r="D406">
        <v>28.6</v>
      </c>
      <c r="E406">
        <f t="shared" ref="E406:E453" si="16">D406</f>
        <v>28.6</v>
      </c>
      <c r="F406" t="s">
        <v>42</v>
      </c>
      <c r="G406" t="s">
        <v>42</v>
      </c>
      <c r="H406" t="s">
        <v>42</v>
      </c>
      <c r="I406" t="s">
        <v>42</v>
      </c>
      <c r="J406" t="s">
        <v>42</v>
      </c>
      <c r="K406" t="s">
        <v>42</v>
      </c>
      <c r="L406" t="s">
        <v>42</v>
      </c>
      <c r="M406" t="s">
        <v>122</v>
      </c>
      <c r="N406" t="s">
        <v>122</v>
      </c>
    </row>
    <row r="407" spans="1:14" x14ac:dyDescent="0.25">
      <c r="A407" t="s">
        <v>41</v>
      </c>
      <c r="B407" s="5" t="s">
        <v>20</v>
      </c>
      <c r="C407" t="s">
        <v>121</v>
      </c>
      <c r="D407">
        <v>12</v>
      </c>
      <c r="E407">
        <f t="shared" si="16"/>
        <v>12</v>
      </c>
      <c r="F407" t="s">
        <v>42</v>
      </c>
      <c r="G407" t="s">
        <v>42</v>
      </c>
      <c r="H407" t="s">
        <v>42</v>
      </c>
      <c r="I407" t="s">
        <v>42</v>
      </c>
      <c r="J407" t="s">
        <v>42</v>
      </c>
      <c r="K407" t="s">
        <v>42</v>
      </c>
      <c r="L407" t="s">
        <v>42</v>
      </c>
      <c r="M407" t="s">
        <v>122</v>
      </c>
      <c r="N407" t="s">
        <v>122</v>
      </c>
    </row>
    <row r="408" spans="1:14" x14ac:dyDescent="0.25">
      <c r="A408" t="s">
        <v>43</v>
      </c>
      <c r="B408" s="5" t="s">
        <v>45</v>
      </c>
      <c r="C408" t="s">
        <v>121</v>
      </c>
      <c r="D408">
        <v>15</v>
      </c>
      <c r="E408">
        <f t="shared" si="16"/>
        <v>15</v>
      </c>
      <c r="F408" t="s">
        <v>42</v>
      </c>
      <c r="G408" t="s">
        <v>42</v>
      </c>
      <c r="H408" t="s">
        <v>42</v>
      </c>
      <c r="I408" t="s">
        <v>42</v>
      </c>
      <c r="J408" t="s">
        <v>42</v>
      </c>
      <c r="K408" t="s">
        <v>42</v>
      </c>
      <c r="L408" t="s">
        <v>42</v>
      </c>
      <c r="M408" t="s">
        <v>122</v>
      </c>
      <c r="N408" t="s">
        <v>122</v>
      </c>
    </row>
    <row r="409" spans="1:14" x14ac:dyDescent="0.25">
      <c r="A409" t="s">
        <v>43</v>
      </c>
      <c r="B409" s="5" t="s">
        <v>45</v>
      </c>
      <c r="C409" t="s">
        <v>121</v>
      </c>
      <c r="D409">
        <v>27.1</v>
      </c>
      <c r="E409">
        <f t="shared" si="16"/>
        <v>27.1</v>
      </c>
      <c r="F409" t="s">
        <v>42</v>
      </c>
      <c r="G409" t="s">
        <v>42</v>
      </c>
      <c r="H409" t="s">
        <v>42</v>
      </c>
      <c r="I409" t="s">
        <v>42</v>
      </c>
      <c r="J409" t="s">
        <v>42</v>
      </c>
      <c r="K409" t="s">
        <v>42</v>
      </c>
      <c r="L409" t="s">
        <v>42</v>
      </c>
      <c r="M409" t="s">
        <v>122</v>
      </c>
      <c r="N409" t="s">
        <v>122</v>
      </c>
    </row>
    <row r="410" spans="1:14" x14ac:dyDescent="0.25">
      <c r="A410" t="s">
        <v>43</v>
      </c>
      <c r="B410" s="5" t="s">
        <v>45</v>
      </c>
      <c r="C410" t="s">
        <v>121</v>
      </c>
      <c r="D410">
        <v>21</v>
      </c>
      <c r="E410">
        <f t="shared" si="16"/>
        <v>21</v>
      </c>
      <c r="F410" t="s">
        <v>42</v>
      </c>
      <c r="G410" t="s">
        <v>42</v>
      </c>
      <c r="H410" t="s">
        <v>42</v>
      </c>
      <c r="I410" t="s">
        <v>42</v>
      </c>
      <c r="J410" t="s">
        <v>42</v>
      </c>
      <c r="K410" t="s">
        <v>42</v>
      </c>
      <c r="L410" t="s">
        <v>42</v>
      </c>
      <c r="M410" t="s">
        <v>122</v>
      </c>
      <c r="N410" t="s">
        <v>122</v>
      </c>
    </row>
    <row r="411" spans="1:14" x14ac:dyDescent="0.25">
      <c r="A411" t="s">
        <v>43</v>
      </c>
      <c r="B411" s="5" t="s">
        <v>45</v>
      </c>
      <c r="C411" t="s">
        <v>121</v>
      </c>
      <c r="D411">
        <v>21.8</v>
      </c>
      <c r="E411">
        <f t="shared" si="16"/>
        <v>21.8</v>
      </c>
      <c r="F411" t="s">
        <v>42</v>
      </c>
      <c r="G411" t="s">
        <v>42</v>
      </c>
      <c r="H411" t="s">
        <v>42</v>
      </c>
      <c r="I411" t="s">
        <v>42</v>
      </c>
      <c r="J411" t="s">
        <v>42</v>
      </c>
      <c r="K411" t="s">
        <v>42</v>
      </c>
      <c r="L411" t="s">
        <v>42</v>
      </c>
      <c r="M411" t="s">
        <v>122</v>
      </c>
      <c r="N411" t="s">
        <v>122</v>
      </c>
    </row>
    <row r="412" spans="1:14" x14ac:dyDescent="0.25">
      <c r="A412" t="s">
        <v>43</v>
      </c>
      <c r="B412" s="5" t="s">
        <v>45</v>
      </c>
      <c r="C412" t="s">
        <v>121</v>
      </c>
      <c r="D412">
        <v>14.1</v>
      </c>
      <c r="E412">
        <f t="shared" si="16"/>
        <v>14.1</v>
      </c>
      <c r="F412" t="s">
        <v>42</v>
      </c>
      <c r="G412" t="s">
        <v>42</v>
      </c>
      <c r="H412" t="s">
        <v>42</v>
      </c>
      <c r="I412" t="s">
        <v>42</v>
      </c>
      <c r="J412" t="s">
        <v>42</v>
      </c>
      <c r="K412" t="s">
        <v>42</v>
      </c>
      <c r="L412" t="s">
        <v>42</v>
      </c>
      <c r="M412" t="s">
        <v>122</v>
      </c>
      <c r="N412" t="s">
        <v>122</v>
      </c>
    </row>
    <row r="413" spans="1:14" x14ac:dyDescent="0.25">
      <c r="A413" t="s">
        <v>43</v>
      </c>
      <c r="B413" s="5" t="s">
        <v>45</v>
      </c>
      <c r="C413" t="s">
        <v>121</v>
      </c>
      <c r="D413">
        <v>13.9</v>
      </c>
      <c r="E413">
        <f t="shared" si="16"/>
        <v>13.9</v>
      </c>
      <c r="F413" t="s">
        <v>42</v>
      </c>
      <c r="G413" t="s">
        <v>42</v>
      </c>
      <c r="H413" t="s">
        <v>42</v>
      </c>
      <c r="I413" t="s">
        <v>42</v>
      </c>
      <c r="J413" t="s">
        <v>42</v>
      </c>
      <c r="K413" t="s">
        <v>42</v>
      </c>
      <c r="L413" t="s">
        <v>42</v>
      </c>
      <c r="M413" t="s">
        <v>122</v>
      </c>
      <c r="N413" t="s">
        <v>122</v>
      </c>
    </row>
    <row r="414" spans="1:14" x14ac:dyDescent="0.25">
      <c r="A414" t="s">
        <v>43</v>
      </c>
      <c r="B414" s="5" t="s">
        <v>45</v>
      </c>
      <c r="C414" t="s">
        <v>123</v>
      </c>
      <c r="D414">
        <v>14.6</v>
      </c>
      <c r="E414">
        <f t="shared" si="16"/>
        <v>14.6</v>
      </c>
      <c r="F414" t="s">
        <v>42</v>
      </c>
      <c r="G414" t="s">
        <v>42</v>
      </c>
      <c r="H414" t="s">
        <v>42</v>
      </c>
      <c r="I414" t="s">
        <v>42</v>
      </c>
      <c r="J414" t="s">
        <v>42</v>
      </c>
      <c r="K414" t="s">
        <v>42</v>
      </c>
      <c r="L414" t="s">
        <v>42</v>
      </c>
      <c r="M414" t="s">
        <v>128</v>
      </c>
      <c r="N414" t="s">
        <v>122</v>
      </c>
    </row>
    <row r="415" spans="1:14" x14ac:dyDescent="0.25">
      <c r="A415" t="s">
        <v>43</v>
      </c>
      <c r="B415" s="5" t="s">
        <v>45</v>
      </c>
      <c r="C415" t="s">
        <v>121</v>
      </c>
      <c r="D415">
        <v>10.199999999999999</v>
      </c>
      <c r="E415">
        <f t="shared" si="16"/>
        <v>10.199999999999999</v>
      </c>
      <c r="F415" t="s">
        <v>42</v>
      </c>
      <c r="G415" t="s">
        <v>42</v>
      </c>
      <c r="H415" t="s">
        <v>42</v>
      </c>
      <c r="I415" t="s">
        <v>42</v>
      </c>
      <c r="J415" t="s">
        <v>42</v>
      </c>
      <c r="K415" t="s">
        <v>42</v>
      </c>
      <c r="L415" t="s">
        <v>42</v>
      </c>
      <c r="M415" t="s">
        <v>128</v>
      </c>
      <c r="N415" t="s">
        <v>122</v>
      </c>
    </row>
    <row r="416" spans="1:14" x14ac:dyDescent="0.25">
      <c r="A416" t="s">
        <v>43</v>
      </c>
      <c r="B416" s="5" t="s">
        <v>45</v>
      </c>
      <c r="C416" t="s">
        <v>123</v>
      </c>
      <c r="D416">
        <v>17.899999999999999</v>
      </c>
      <c r="E416">
        <f t="shared" si="16"/>
        <v>17.899999999999999</v>
      </c>
      <c r="F416" t="s">
        <v>42</v>
      </c>
      <c r="G416" t="s">
        <v>42</v>
      </c>
      <c r="H416" t="s">
        <v>42</v>
      </c>
      <c r="I416" t="s">
        <v>42</v>
      </c>
      <c r="J416" t="s">
        <v>42</v>
      </c>
      <c r="K416" t="s">
        <v>42</v>
      </c>
      <c r="L416" t="s">
        <v>42</v>
      </c>
      <c r="M416" t="s">
        <v>122</v>
      </c>
      <c r="N416" t="s">
        <v>122</v>
      </c>
    </row>
    <row r="417" spans="1:14" x14ac:dyDescent="0.25">
      <c r="A417" t="s">
        <v>43</v>
      </c>
      <c r="B417" s="5" t="s">
        <v>45</v>
      </c>
      <c r="C417" t="s">
        <v>123</v>
      </c>
      <c r="D417">
        <v>16.3</v>
      </c>
      <c r="E417">
        <f t="shared" si="16"/>
        <v>16.3</v>
      </c>
      <c r="F417" t="s">
        <v>42</v>
      </c>
      <c r="G417" t="s">
        <v>42</v>
      </c>
      <c r="H417" t="s">
        <v>42</v>
      </c>
      <c r="I417" t="s">
        <v>42</v>
      </c>
      <c r="J417" t="s">
        <v>42</v>
      </c>
      <c r="K417" t="s">
        <v>42</v>
      </c>
      <c r="L417" t="s">
        <v>42</v>
      </c>
      <c r="M417" t="s">
        <v>122</v>
      </c>
      <c r="N417" t="s">
        <v>122</v>
      </c>
    </row>
    <row r="418" spans="1:14" x14ac:dyDescent="0.25">
      <c r="A418" t="s">
        <v>43</v>
      </c>
      <c r="B418" s="5" t="s">
        <v>45</v>
      </c>
      <c r="C418" t="s">
        <v>123</v>
      </c>
      <c r="D418">
        <v>21.6</v>
      </c>
      <c r="E418">
        <f t="shared" si="16"/>
        <v>21.6</v>
      </c>
      <c r="F418" t="s">
        <v>42</v>
      </c>
      <c r="G418" t="s">
        <v>42</v>
      </c>
      <c r="H418" t="s">
        <v>42</v>
      </c>
      <c r="I418" t="s">
        <v>42</v>
      </c>
      <c r="J418" t="s">
        <v>42</v>
      </c>
      <c r="K418" t="s">
        <v>42</v>
      </c>
      <c r="L418" t="s">
        <v>42</v>
      </c>
      <c r="M418" t="s">
        <v>122</v>
      </c>
      <c r="N418" t="s">
        <v>122</v>
      </c>
    </row>
    <row r="419" spans="1:14" x14ac:dyDescent="0.25">
      <c r="A419" t="s">
        <v>43</v>
      </c>
      <c r="B419" s="5" t="s">
        <v>45</v>
      </c>
      <c r="C419" t="s">
        <v>123</v>
      </c>
      <c r="D419">
        <v>16.3</v>
      </c>
      <c r="E419">
        <f t="shared" si="16"/>
        <v>16.3</v>
      </c>
      <c r="F419" t="s">
        <v>42</v>
      </c>
      <c r="G419" t="s">
        <v>42</v>
      </c>
      <c r="H419" t="s">
        <v>42</v>
      </c>
      <c r="I419" t="s">
        <v>42</v>
      </c>
      <c r="J419" t="s">
        <v>42</v>
      </c>
      <c r="K419" t="s">
        <v>42</v>
      </c>
      <c r="L419" t="s">
        <v>42</v>
      </c>
      <c r="M419" t="s">
        <v>122</v>
      </c>
      <c r="N419" t="s">
        <v>122</v>
      </c>
    </row>
    <row r="420" spans="1:14" x14ac:dyDescent="0.25">
      <c r="A420" t="s">
        <v>43</v>
      </c>
      <c r="B420" s="5" t="s">
        <v>45</v>
      </c>
      <c r="C420" t="s">
        <v>123</v>
      </c>
      <c r="D420">
        <v>12.7</v>
      </c>
      <c r="E420">
        <f t="shared" si="16"/>
        <v>12.7</v>
      </c>
      <c r="F420" t="s">
        <v>42</v>
      </c>
      <c r="G420" t="s">
        <v>42</v>
      </c>
      <c r="H420" t="s">
        <v>42</v>
      </c>
      <c r="I420" t="s">
        <v>42</v>
      </c>
      <c r="J420" t="s">
        <v>42</v>
      </c>
      <c r="K420" t="s">
        <v>42</v>
      </c>
      <c r="L420" t="s">
        <v>42</v>
      </c>
      <c r="M420" t="s">
        <v>122</v>
      </c>
      <c r="N420" t="s">
        <v>122</v>
      </c>
    </row>
    <row r="421" spans="1:14" x14ac:dyDescent="0.25">
      <c r="A421" t="s">
        <v>43</v>
      </c>
      <c r="B421" s="5" t="s">
        <v>45</v>
      </c>
      <c r="C421" t="s">
        <v>123</v>
      </c>
      <c r="D421">
        <v>15.3</v>
      </c>
      <c r="E421">
        <f t="shared" si="16"/>
        <v>15.3</v>
      </c>
      <c r="F421" t="s">
        <v>42</v>
      </c>
      <c r="G421" t="s">
        <v>42</v>
      </c>
      <c r="H421" t="s">
        <v>42</v>
      </c>
      <c r="I421" t="s">
        <v>42</v>
      </c>
      <c r="J421" t="s">
        <v>42</v>
      </c>
      <c r="K421" t="s">
        <v>42</v>
      </c>
      <c r="L421" t="s">
        <v>42</v>
      </c>
      <c r="M421" t="s">
        <v>122</v>
      </c>
      <c r="N421" t="s">
        <v>122</v>
      </c>
    </row>
    <row r="422" spans="1:14" x14ac:dyDescent="0.25">
      <c r="A422" t="s">
        <v>43</v>
      </c>
      <c r="B422" s="5" t="s">
        <v>45</v>
      </c>
      <c r="C422" t="s">
        <v>123</v>
      </c>
      <c r="D422">
        <v>15.4</v>
      </c>
      <c r="E422">
        <f t="shared" si="16"/>
        <v>15.4</v>
      </c>
      <c r="F422" t="s">
        <v>42</v>
      </c>
      <c r="G422" t="s">
        <v>42</v>
      </c>
      <c r="H422" t="s">
        <v>42</v>
      </c>
      <c r="I422" t="s">
        <v>42</v>
      </c>
      <c r="J422" t="s">
        <v>42</v>
      </c>
      <c r="K422" t="s">
        <v>42</v>
      </c>
      <c r="L422" t="s">
        <v>42</v>
      </c>
      <c r="M422" t="s">
        <v>122</v>
      </c>
      <c r="N422" t="s">
        <v>122</v>
      </c>
    </row>
    <row r="423" spans="1:14" x14ac:dyDescent="0.25">
      <c r="A423" t="s">
        <v>43</v>
      </c>
      <c r="B423" s="5" t="s">
        <v>45</v>
      </c>
      <c r="C423" t="s">
        <v>123</v>
      </c>
      <c r="D423">
        <v>12</v>
      </c>
      <c r="E423">
        <f t="shared" si="16"/>
        <v>12</v>
      </c>
      <c r="F423" t="s">
        <v>42</v>
      </c>
      <c r="G423" t="s">
        <v>42</v>
      </c>
      <c r="H423" t="s">
        <v>42</v>
      </c>
      <c r="I423" t="s">
        <v>42</v>
      </c>
      <c r="J423" t="s">
        <v>42</v>
      </c>
      <c r="K423" t="s">
        <v>42</v>
      </c>
      <c r="L423" t="s">
        <v>42</v>
      </c>
      <c r="M423" t="s">
        <v>122</v>
      </c>
      <c r="N423" t="s">
        <v>122</v>
      </c>
    </row>
    <row r="424" spans="1:14" x14ac:dyDescent="0.25">
      <c r="A424" t="s">
        <v>43</v>
      </c>
      <c r="B424" s="5" t="s">
        <v>45</v>
      </c>
      <c r="C424" t="s">
        <v>121</v>
      </c>
      <c r="D424">
        <v>17.600000000000001</v>
      </c>
      <c r="E424">
        <f t="shared" si="16"/>
        <v>17.600000000000001</v>
      </c>
      <c r="F424" t="s">
        <v>42</v>
      </c>
      <c r="G424" t="s">
        <v>42</v>
      </c>
      <c r="H424" t="s">
        <v>42</v>
      </c>
      <c r="I424" t="s">
        <v>42</v>
      </c>
      <c r="J424" t="s">
        <v>42</v>
      </c>
      <c r="K424" t="s">
        <v>42</v>
      </c>
      <c r="L424" t="s">
        <v>42</v>
      </c>
      <c r="M424" t="s">
        <v>122</v>
      </c>
      <c r="N424" t="s">
        <v>122</v>
      </c>
    </row>
    <row r="425" spans="1:14" x14ac:dyDescent="0.25">
      <c r="A425" t="s">
        <v>43</v>
      </c>
      <c r="B425" s="5" t="s">
        <v>45</v>
      </c>
      <c r="C425" t="s">
        <v>123</v>
      </c>
      <c r="D425">
        <v>16.100000000000001</v>
      </c>
      <c r="E425">
        <f t="shared" si="16"/>
        <v>16.100000000000001</v>
      </c>
      <c r="F425" t="s">
        <v>42</v>
      </c>
      <c r="G425" t="s">
        <v>42</v>
      </c>
      <c r="H425" t="s">
        <v>42</v>
      </c>
      <c r="I425" t="s">
        <v>42</v>
      </c>
      <c r="J425" t="s">
        <v>42</v>
      </c>
      <c r="K425" t="s">
        <v>42</v>
      </c>
      <c r="L425" t="s">
        <v>42</v>
      </c>
      <c r="M425" t="s">
        <v>122</v>
      </c>
      <c r="N425" t="s">
        <v>122</v>
      </c>
    </row>
    <row r="426" spans="1:14" x14ac:dyDescent="0.25">
      <c r="A426" t="s">
        <v>43</v>
      </c>
      <c r="B426" s="5" t="s">
        <v>45</v>
      </c>
      <c r="C426" t="s">
        <v>123</v>
      </c>
      <c r="D426">
        <v>17.600000000000001</v>
      </c>
      <c r="E426">
        <f t="shared" si="16"/>
        <v>17.600000000000001</v>
      </c>
      <c r="F426" t="s">
        <v>42</v>
      </c>
      <c r="G426" t="s">
        <v>42</v>
      </c>
      <c r="H426" t="s">
        <v>42</v>
      </c>
      <c r="I426" t="s">
        <v>42</v>
      </c>
      <c r="J426" t="s">
        <v>42</v>
      </c>
      <c r="K426" t="s">
        <v>42</v>
      </c>
      <c r="L426" t="s">
        <v>42</v>
      </c>
      <c r="M426" t="s">
        <v>122</v>
      </c>
      <c r="N426" t="s">
        <v>122</v>
      </c>
    </row>
    <row r="427" spans="1:14" x14ac:dyDescent="0.25">
      <c r="A427" t="s">
        <v>43</v>
      </c>
      <c r="B427" s="5" t="s">
        <v>45</v>
      </c>
      <c r="C427" t="s">
        <v>123</v>
      </c>
      <c r="D427">
        <v>17.2</v>
      </c>
      <c r="E427">
        <f t="shared" si="16"/>
        <v>17.2</v>
      </c>
      <c r="F427" t="s">
        <v>42</v>
      </c>
      <c r="G427" t="s">
        <v>42</v>
      </c>
      <c r="H427" t="s">
        <v>42</v>
      </c>
      <c r="I427" t="s">
        <v>42</v>
      </c>
      <c r="J427" t="s">
        <v>42</v>
      </c>
      <c r="K427" t="s">
        <v>42</v>
      </c>
      <c r="L427" t="s">
        <v>42</v>
      </c>
      <c r="M427" t="s">
        <v>122</v>
      </c>
      <c r="N427" t="s">
        <v>122</v>
      </c>
    </row>
    <row r="428" spans="1:14" x14ac:dyDescent="0.25">
      <c r="A428" t="s">
        <v>43</v>
      </c>
      <c r="B428" s="5" t="s">
        <v>45</v>
      </c>
      <c r="C428" t="s">
        <v>121</v>
      </c>
      <c r="D428">
        <v>18.899999999999999</v>
      </c>
      <c r="E428">
        <f t="shared" si="16"/>
        <v>18.899999999999999</v>
      </c>
      <c r="F428" t="s">
        <v>42</v>
      </c>
      <c r="G428" t="s">
        <v>42</v>
      </c>
      <c r="H428" t="s">
        <v>42</v>
      </c>
      <c r="I428" t="s">
        <v>42</v>
      </c>
      <c r="J428" t="s">
        <v>42</v>
      </c>
      <c r="K428" t="s">
        <v>42</v>
      </c>
      <c r="L428" t="s">
        <v>42</v>
      </c>
      <c r="M428" t="s">
        <v>122</v>
      </c>
      <c r="N428" t="s">
        <v>122</v>
      </c>
    </row>
    <row r="429" spans="1:14" x14ac:dyDescent="0.25">
      <c r="A429" t="s">
        <v>43</v>
      </c>
      <c r="B429" s="5" t="s">
        <v>45</v>
      </c>
      <c r="C429" t="s">
        <v>123</v>
      </c>
      <c r="D429">
        <v>15.2</v>
      </c>
      <c r="E429">
        <f t="shared" si="16"/>
        <v>15.2</v>
      </c>
      <c r="F429" t="s">
        <v>42</v>
      </c>
      <c r="G429" t="s">
        <v>42</v>
      </c>
      <c r="H429" t="s">
        <v>42</v>
      </c>
      <c r="I429" t="s">
        <v>42</v>
      </c>
      <c r="J429" t="s">
        <v>42</v>
      </c>
      <c r="K429" t="s">
        <v>42</v>
      </c>
      <c r="L429" t="s">
        <v>42</v>
      </c>
      <c r="M429" t="s">
        <v>122</v>
      </c>
      <c r="N429" t="s">
        <v>122</v>
      </c>
    </row>
    <row r="430" spans="1:14" x14ac:dyDescent="0.25">
      <c r="A430" t="s">
        <v>43</v>
      </c>
      <c r="B430" s="5" t="s">
        <v>45</v>
      </c>
      <c r="C430" t="s">
        <v>121</v>
      </c>
      <c r="D430">
        <v>28.4</v>
      </c>
      <c r="E430">
        <f t="shared" si="16"/>
        <v>28.4</v>
      </c>
      <c r="F430" t="s">
        <v>42</v>
      </c>
      <c r="G430" t="s">
        <v>42</v>
      </c>
      <c r="H430" t="s">
        <v>42</v>
      </c>
      <c r="I430" t="s">
        <v>42</v>
      </c>
      <c r="J430" t="s">
        <v>42</v>
      </c>
      <c r="K430" t="s">
        <v>42</v>
      </c>
      <c r="L430" t="s">
        <v>42</v>
      </c>
      <c r="M430" t="s">
        <v>122</v>
      </c>
      <c r="N430" t="s">
        <v>122</v>
      </c>
    </row>
    <row r="431" spans="1:14" x14ac:dyDescent="0.25">
      <c r="A431" t="s">
        <v>43</v>
      </c>
      <c r="B431" s="5" t="s">
        <v>45</v>
      </c>
      <c r="C431" t="s">
        <v>123</v>
      </c>
      <c r="D431">
        <v>23.2</v>
      </c>
      <c r="E431">
        <f t="shared" si="16"/>
        <v>23.2</v>
      </c>
      <c r="F431" t="s">
        <v>42</v>
      </c>
      <c r="G431" t="s">
        <v>42</v>
      </c>
      <c r="H431" t="s">
        <v>42</v>
      </c>
      <c r="I431" t="s">
        <v>42</v>
      </c>
      <c r="J431" t="s">
        <v>42</v>
      </c>
      <c r="K431" t="s">
        <v>42</v>
      </c>
      <c r="L431" t="s">
        <v>42</v>
      </c>
      <c r="M431" t="s">
        <v>122</v>
      </c>
      <c r="N431" t="s">
        <v>122</v>
      </c>
    </row>
    <row r="432" spans="1:14" x14ac:dyDescent="0.25">
      <c r="A432" t="s">
        <v>43</v>
      </c>
      <c r="B432" s="5" t="s">
        <v>45</v>
      </c>
      <c r="C432" t="s">
        <v>123</v>
      </c>
      <c r="D432">
        <v>17.899999999999999</v>
      </c>
      <c r="E432">
        <f t="shared" si="16"/>
        <v>17.899999999999999</v>
      </c>
      <c r="F432" t="s">
        <v>42</v>
      </c>
      <c r="G432" t="s">
        <v>42</v>
      </c>
      <c r="H432" t="s">
        <v>42</v>
      </c>
      <c r="I432" t="s">
        <v>42</v>
      </c>
      <c r="J432" t="s">
        <v>42</v>
      </c>
      <c r="K432" t="s">
        <v>42</v>
      </c>
      <c r="L432" t="s">
        <v>42</v>
      </c>
      <c r="M432" t="s">
        <v>122</v>
      </c>
      <c r="N432" t="s">
        <v>122</v>
      </c>
    </row>
    <row r="433" spans="1:14" x14ac:dyDescent="0.25">
      <c r="A433" t="s">
        <v>43</v>
      </c>
      <c r="B433" s="5" t="s">
        <v>45</v>
      </c>
      <c r="C433" t="s">
        <v>121</v>
      </c>
      <c r="D433">
        <v>21.8</v>
      </c>
      <c r="E433">
        <f t="shared" si="16"/>
        <v>21.8</v>
      </c>
      <c r="F433" t="s">
        <v>42</v>
      </c>
      <c r="G433" t="s">
        <v>42</v>
      </c>
      <c r="H433" t="s">
        <v>42</v>
      </c>
      <c r="I433" t="s">
        <v>42</v>
      </c>
      <c r="J433" t="s">
        <v>42</v>
      </c>
      <c r="K433" t="s">
        <v>42</v>
      </c>
      <c r="L433" t="s">
        <v>42</v>
      </c>
      <c r="M433" t="s">
        <v>122</v>
      </c>
      <c r="N433" t="s">
        <v>122</v>
      </c>
    </row>
    <row r="434" spans="1:14" x14ac:dyDescent="0.25">
      <c r="A434" t="s">
        <v>43</v>
      </c>
      <c r="B434" s="5" t="s">
        <v>45</v>
      </c>
      <c r="C434" t="s">
        <v>121</v>
      </c>
      <c r="D434">
        <v>14.3</v>
      </c>
      <c r="E434">
        <f t="shared" si="16"/>
        <v>14.3</v>
      </c>
      <c r="F434" t="s">
        <v>42</v>
      </c>
      <c r="G434" t="s">
        <v>42</v>
      </c>
      <c r="H434" t="s">
        <v>42</v>
      </c>
      <c r="I434" t="s">
        <v>42</v>
      </c>
      <c r="J434" t="s">
        <v>42</v>
      </c>
      <c r="K434" t="s">
        <v>42</v>
      </c>
      <c r="L434" t="s">
        <v>42</v>
      </c>
      <c r="M434" t="s">
        <v>122</v>
      </c>
      <c r="N434" t="s">
        <v>122</v>
      </c>
    </row>
    <row r="435" spans="1:14" x14ac:dyDescent="0.25">
      <c r="A435" t="s">
        <v>43</v>
      </c>
      <c r="B435" s="5" t="s">
        <v>45</v>
      </c>
      <c r="C435" t="s">
        <v>123</v>
      </c>
      <c r="D435">
        <v>15.4</v>
      </c>
      <c r="E435">
        <f t="shared" si="16"/>
        <v>15.4</v>
      </c>
      <c r="F435" t="s">
        <v>42</v>
      </c>
      <c r="G435" t="s">
        <v>42</v>
      </c>
      <c r="H435" t="s">
        <v>42</v>
      </c>
      <c r="I435" t="s">
        <v>42</v>
      </c>
      <c r="J435" t="s">
        <v>42</v>
      </c>
      <c r="K435" t="s">
        <v>42</v>
      </c>
      <c r="L435" t="s">
        <v>42</v>
      </c>
      <c r="M435" t="s">
        <v>122</v>
      </c>
      <c r="N435" t="s">
        <v>122</v>
      </c>
    </row>
    <row r="436" spans="1:14" x14ac:dyDescent="0.25">
      <c r="A436" t="s">
        <v>43</v>
      </c>
      <c r="B436" s="5" t="s">
        <v>45</v>
      </c>
      <c r="C436" t="s">
        <v>123</v>
      </c>
      <c r="D436">
        <v>15.8</v>
      </c>
      <c r="E436">
        <f t="shared" si="16"/>
        <v>15.8</v>
      </c>
      <c r="F436" t="s">
        <v>42</v>
      </c>
      <c r="G436" t="s">
        <v>42</v>
      </c>
      <c r="H436" t="s">
        <v>42</v>
      </c>
      <c r="I436" t="s">
        <v>42</v>
      </c>
      <c r="J436" t="s">
        <v>42</v>
      </c>
      <c r="K436" t="s">
        <v>42</v>
      </c>
      <c r="L436" t="s">
        <v>42</v>
      </c>
      <c r="M436" t="s">
        <v>122</v>
      </c>
      <c r="N436" t="s">
        <v>122</v>
      </c>
    </row>
    <row r="437" spans="1:14" x14ac:dyDescent="0.25">
      <c r="A437" t="s">
        <v>43</v>
      </c>
      <c r="B437" s="5" t="s">
        <v>45</v>
      </c>
      <c r="C437" t="s">
        <v>123</v>
      </c>
      <c r="D437">
        <v>16.600000000000001</v>
      </c>
      <c r="E437">
        <f t="shared" si="16"/>
        <v>16.600000000000001</v>
      </c>
      <c r="F437" t="s">
        <v>42</v>
      </c>
      <c r="G437" t="s">
        <v>42</v>
      </c>
      <c r="H437" t="s">
        <v>42</v>
      </c>
      <c r="I437" t="s">
        <v>42</v>
      </c>
      <c r="J437" t="s">
        <v>42</v>
      </c>
      <c r="K437" t="s">
        <v>42</v>
      </c>
      <c r="L437" t="s">
        <v>42</v>
      </c>
      <c r="M437" t="s">
        <v>122</v>
      </c>
      <c r="N437" t="s">
        <v>122</v>
      </c>
    </row>
    <row r="438" spans="1:14" x14ac:dyDescent="0.25">
      <c r="A438" t="s">
        <v>43</v>
      </c>
      <c r="B438" s="5" t="s">
        <v>45</v>
      </c>
      <c r="C438" t="s">
        <v>123</v>
      </c>
      <c r="D438">
        <v>15.5</v>
      </c>
      <c r="E438">
        <f t="shared" si="16"/>
        <v>15.5</v>
      </c>
      <c r="F438" t="s">
        <v>42</v>
      </c>
      <c r="G438" t="s">
        <v>42</v>
      </c>
      <c r="H438" t="s">
        <v>42</v>
      </c>
      <c r="I438" t="s">
        <v>42</v>
      </c>
      <c r="J438" t="s">
        <v>42</v>
      </c>
      <c r="K438" t="s">
        <v>42</v>
      </c>
      <c r="L438" t="s">
        <v>42</v>
      </c>
      <c r="M438" t="s">
        <v>122</v>
      </c>
      <c r="N438" t="s">
        <v>122</v>
      </c>
    </row>
    <row r="439" spans="1:14" x14ac:dyDescent="0.25">
      <c r="A439" t="s">
        <v>43</v>
      </c>
      <c r="B439" s="5" t="s">
        <v>45</v>
      </c>
      <c r="C439" t="s">
        <v>123</v>
      </c>
      <c r="D439">
        <v>9.1999999999999993</v>
      </c>
      <c r="E439">
        <f t="shared" si="16"/>
        <v>9.1999999999999993</v>
      </c>
      <c r="F439" t="s">
        <v>42</v>
      </c>
      <c r="G439" t="s">
        <v>42</v>
      </c>
      <c r="H439" t="s">
        <v>42</v>
      </c>
      <c r="I439" t="s">
        <v>42</v>
      </c>
      <c r="J439" t="s">
        <v>42</v>
      </c>
      <c r="K439" t="s">
        <v>42</v>
      </c>
      <c r="L439" t="s">
        <v>42</v>
      </c>
      <c r="M439" t="s">
        <v>122</v>
      </c>
      <c r="N439" t="s">
        <v>122</v>
      </c>
    </row>
    <row r="440" spans="1:14" x14ac:dyDescent="0.25">
      <c r="A440" t="s">
        <v>43</v>
      </c>
      <c r="B440" s="5" t="s">
        <v>45</v>
      </c>
      <c r="C440" t="s">
        <v>123</v>
      </c>
      <c r="D440">
        <v>11.4</v>
      </c>
      <c r="E440">
        <f t="shared" si="16"/>
        <v>11.4</v>
      </c>
      <c r="F440" t="s">
        <v>42</v>
      </c>
      <c r="G440" t="s">
        <v>42</v>
      </c>
      <c r="H440" t="s">
        <v>42</v>
      </c>
      <c r="I440" t="s">
        <v>42</v>
      </c>
      <c r="J440" t="s">
        <v>42</v>
      </c>
      <c r="K440" t="s">
        <v>42</v>
      </c>
      <c r="L440" t="s">
        <v>42</v>
      </c>
      <c r="M440" t="s">
        <v>122</v>
      </c>
      <c r="N440" t="s">
        <v>122</v>
      </c>
    </row>
    <row r="441" spans="1:14" x14ac:dyDescent="0.25">
      <c r="A441" t="s">
        <v>43</v>
      </c>
      <c r="B441" s="5" t="s">
        <v>45</v>
      </c>
      <c r="C441" t="s">
        <v>123</v>
      </c>
      <c r="D441">
        <v>18</v>
      </c>
      <c r="E441">
        <f t="shared" si="16"/>
        <v>18</v>
      </c>
      <c r="F441" t="s">
        <v>42</v>
      </c>
      <c r="G441" t="s">
        <v>42</v>
      </c>
      <c r="H441" t="s">
        <v>42</v>
      </c>
      <c r="I441" t="s">
        <v>42</v>
      </c>
      <c r="J441" t="s">
        <v>42</v>
      </c>
      <c r="K441" t="s">
        <v>42</v>
      </c>
      <c r="L441" t="s">
        <v>42</v>
      </c>
      <c r="M441" t="s">
        <v>122</v>
      </c>
      <c r="N441" t="s">
        <v>122</v>
      </c>
    </row>
    <row r="442" spans="1:14" x14ac:dyDescent="0.25">
      <c r="A442" t="s">
        <v>43</v>
      </c>
      <c r="B442" s="5" t="s">
        <v>45</v>
      </c>
      <c r="C442" t="s">
        <v>123</v>
      </c>
      <c r="D442">
        <v>19.100000000000001</v>
      </c>
      <c r="E442">
        <f t="shared" si="16"/>
        <v>19.100000000000001</v>
      </c>
      <c r="F442" t="s">
        <v>42</v>
      </c>
      <c r="G442" t="s">
        <v>42</v>
      </c>
      <c r="H442" t="s">
        <v>42</v>
      </c>
      <c r="I442" t="s">
        <v>42</v>
      </c>
      <c r="J442" t="s">
        <v>42</v>
      </c>
      <c r="K442" t="s">
        <v>42</v>
      </c>
      <c r="L442" t="s">
        <v>42</v>
      </c>
      <c r="M442" t="s">
        <v>122</v>
      </c>
      <c r="N442" t="s">
        <v>122</v>
      </c>
    </row>
    <row r="443" spans="1:14" x14ac:dyDescent="0.25">
      <c r="A443" t="s">
        <v>43</v>
      </c>
      <c r="B443" s="5" t="s">
        <v>45</v>
      </c>
      <c r="C443" t="s">
        <v>121</v>
      </c>
      <c r="D443">
        <v>14</v>
      </c>
      <c r="E443">
        <f t="shared" si="16"/>
        <v>14</v>
      </c>
      <c r="F443" t="s">
        <v>42</v>
      </c>
      <c r="G443" t="s">
        <v>42</v>
      </c>
      <c r="H443" t="s">
        <v>42</v>
      </c>
      <c r="I443" t="s">
        <v>42</v>
      </c>
      <c r="J443" t="s">
        <v>42</v>
      </c>
      <c r="K443" t="s">
        <v>42</v>
      </c>
      <c r="L443" t="s">
        <v>42</v>
      </c>
      <c r="M443" t="s">
        <v>122</v>
      </c>
      <c r="N443" t="s">
        <v>122</v>
      </c>
    </row>
    <row r="444" spans="1:14" x14ac:dyDescent="0.25">
      <c r="A444" t="s">
        <v>43</v>
      </c>
      <c r="B444" s="5" t="s">
        <v>45</v>
      </c>
      <c r="C444" t="s">
        <v>123</v>
      </c>
      <c r="D444">
        <v>15.5</v>
      </c>
      <c r="E444">
        <f t="shared" si="16"/>
        <v>15.5</v>
      </c>
      <c r="F444" t="s">
        <v>42</v>
      </c>
      <c r="G444" t="s">
        <v>42</v>
      </c>
      <c r="H444" t="s">
        <v>42</v>
      </c>
      <c r="I444" t="s">
        <v>42</v>
      </c>
      <c r="J444" t="s">
        <v>42</v>
      </c>
      <c r="K444" t="s">
        <v>42</v>
      </c>
      <c r="L444" t="s">
        <v>42</v>
      </c>
      <c r="M444" t="s">
        <v>122</v>
      </c>
      <c r="N444" t="s">
        <v>122</v>
      </c>
    </row>
    <row r="445" spans="1:14" x14ac:dyDescent="0.25">
      <c r="A445" t="s">
        <v>43</v>
      </c>
      <c r="B445" s="5" t="s">
        <v>45</v>
      </c>
      <c r="C445" t="s">
        <v>123</v>
      </c>
      <c r="D445">
        <v>19</v>
      </c>
      <c r="E445">
        <f t="shared" si="16"/>
        <v>19</v>
      </c>
      <c r="F445" t="s">
        <v>42</v>
      </c>
      <c r="G445" t="s">
        <v>42</v>
      </c>
      <c r="H445" t="s">
        <v>42</v>
      </c>
      <c r="I445" t="s">
        <v>42</v>
      </c>
      <c r="J445" t="s">
        <v>42</v>
      </c>
      <c r="K445" t="s">
        <v>42</v>
      </c>
      <c r="L445" t="s">
        <v>42</v>
      </c>
      <c r="M445" t="s">
        <v>122</v>
      </c>
      <c r="N445" t="s">
        <v>122</v>
      </c>
    </row>
    <row r="446" spans="1:14" x14ac:dyDescent="0.25">
      <c r="A446" t="s">
        <v>43</v>
      </c>
      <c r="B446" s="5" t="s">
        <v>45</v>
      </c>
      <c r="C446" t="s">
        <v>121</v>
      </c>
      <c r="D446">
        <v>18</v>
      </c>
      <c r="E446">
        <f t="shared" si="16"/>
        <v>18</v>
      </c>
      <c r="F446" t="s">
        <v>42</v>
      </c>
      <c r="G446" t="s">
        <v>42</v>
      </c>
      <c r="H446" t="s">
        <v>42</v>
      </c>
      <c r="I446" t="s">
        <v>42</v>
      </c>
      <c r="J446" t="s">
        <v>42</v>
      </c>
      <c r="K446" t="s">
        <v>42</v>
      </c>
      <c r="L446" t="s">
        <v>42</v>
      </c>
      <c r="M446" t="s">
        <v>122</v>
      </c>
      <c r="N446" t="s">
        <v>122</v>
      </c>
    </row>
    <row r="447" spans="1:14" x14ac:dyDescent="0.25">
      <c r="A447" t="s">
        <v>43</v>
      </c>
      <c r="B447" s="5" t="s">
        <v>45</v>
      </c>
      <c r="C447" t="s">
        <v>123</v>
      </c>
      <c r="D447">
        <v>10.199999999999999</v>
      </c>
      <c r="E447">
        <f t="shared" si="16"/>
        <v>10.199999999999999</v>
      </c>
      <c r="F447" t="s">
        <v>42</v>
      </c>
      <c r="G447" t="s">
        <v>42</v>
      </c>
      <c r="H447" t="s">
        <v>42</v>
      </c>
      <c r="I447" t="s">
        <v>42</v>
      </c>
      <c r="J447" t="s">
        <v>42</v>
      </c>
      <c r="K447" t="s">
        <v>42</v>
      </c>
      <c r="L447" t="s">
        <v>42</v>
      </c>
      <c r="M447" t="s">
        <v>122</v>
      </c>
      <c r="N447" t="s">
        <v>122</v>
      </c>
    </row>
    <row r="448" spans="1:14" x14ac:dyDescent="0.25">
      <c r="A448" t="s">
        <v>43</v>
      </c>
      <c r="B448" s="5" t="s">
        <v>45</v>
      </c>
      <c r="C448" t="s">
        <v>121</v>
      </c>
      <c r="D448">
        <v>13.6</v>
      </c>
      <c r="E448">
        <f t="shared" si="16"/>
        <v>13.6</v>
      </c>
      <c r="F448" t="s">
        <v>42</v>
      </c>
      <c r="G448" t="s">
        <v>42</v>
      </c>
      <c r="H448" t="s">
        <v>42</v>
      </c>
      <c r="I448" t="s">
        <v>42</v>
      </c>
      <c r="J448" t="s">
        <v>42</v>
      </c>
      <c r="K448" t="s">
        <v>42</v>
      </c>
      <c r="L448" t="s">
        <v>42</v>
      </c>
      <c r="M448" t="s">
        <v>122</v>
      </c>
      <c r="N448" t="s">
        <v>122</v>
      </c>
    </row>
    <row r="449" spans="1:14" x14ac:dyDescent="0.25">
      <c r="A449" t="s">
        <v>43</v>
      </c>
      <c r="B449" s="5" t="s">
        <v>45</v>
      </c>
      <c r="C449" t="s">
        <v>123</v>
      </c>
      <c r="D449">
        <v>16.100000000000001</v>
      </c>
      <c r="E449">
        <f t="shared" si="16"/>
        <v>16.100000000000001</v>
      </c>
      <c r="F449" t="s">
        <v>42</v>
      </c>
      <c r="G449" t="s">
        <v>42</v>
      </c>
      <c r="H449" t="s">
        <v>42</v>
      </c>
      <c r="I449" t="s">
        <v>42</v>
      </c>
      <c r="J449" t="s">
        <v>42</v>
      </c>
      <c r="K449" t="s">
        <v>42</v>
      </c>
      <c r="L449" t="s">
        <v>42</v>
      </c>
      <c r="M449" t="s">
        <v>122</v>
      </c>
      <c r="N449" t="s">
        <v>122</v>
      </c>
    </row>
    <row r="450" spans="1:14" x14ac:dyDescent="0.25">
      <c r="A450" t="s">
        <v>43</v>
      </c>
      <c r="B450" s="5" t="s">
        <v>45</v>
      </c>
      <c r="C450" t="s">
        <v>121</v>
      </c>
      <c r="D450">
        <v>21.7</v>
      </c>
      <c r="E450">
        <f t="shared" si="16"/>
        <v>21.7</v>
      </c>
      <c r="F450" t="s">
        <v>42</v>
      </c>
      <c r="G450" t="s">
        <v>42</v>
      </c>
      <c r="H450" t="s">
        <v>42</v>
      </c>
      <c r="I450" t="s">
        <v>42</v>
      </c>
      <c r="J450" t="s">
        <v>42</v>
      </c>
      <c r="K450" t="s">
        <v>42</v>
      </c>
      <c r="L450" t="s">
        <v>42</v>
      </c>
      <c r="M450" t="s">
        <v>122</v>
      </c>
      <c r="N450" t="s">
        <v>122</v>
      </c>
    </row>
    <row r="451" spans="1:14" x14ac:dyDescent="0.25">
      <c r="A451" t="s">
        <v>43</v>
      </c>
      <c r="B451" s="5" t="s">
        <v>45</v>
      </c>
      <c r="C451" t="s">
        <v>123</v>
      </c>
      <c r="D451">
        <v>16.100000000000001</v>
      </c>
      <c r="E451">
        <f t="shared" si="16"/>
        <v>16.100000000000001</v>
      </c>
      <c r="F451" t="s">
        <v>42</v>
      </c>
      <c r="G451" t="s">
        <v>42</v>
      </c>
      <c r="H451" t="s">
        <v>42</v>
      </c>
      <c r="I451" t="s">
        <v>42</v>
      </c>
      <c r="J451" t="s">
        <v>42</v>
      </c>
      <c r="K451" t="s">
        <v>42</v>
      </c>
      <c r="L451" t="s">
        <v>42</v>
      </c>
      <c r="M451" t="s">
        <v>122</v>
      </c>
      <c r="N451" t="s">
        <v>122</v>
      </c>
    </row>
    <row r="452" spans="1:14" x14ac:dyDescent="0.25">
      <c r="A452" t="s">
        <v>43</v>
      </c>
      <c r="B452" s="5" t="s">
        <v>45</v>
      </c>
      <c r="C452" t="s">
        <v>123</v>
      </c>
      <c r="D452">
        <v>10.5</v>
      </c>
      <c r="E452">
        <f t="shared" si="16"/>
        <v>10.5</v>
      </c>
      <c r="F452" t="s">
        <v>42</v>
      </c>
      <c r="G452" t="s">
        <v>42</v>
      </c>
      <c r="H452" t="s">
        <v>42</v>
      </c>
      <c r="I452" t="s">
        <v>42</v>
      </c>
      <c r="J452" t="s">
        <v>42</v>
      </c>
      <c r="K452" t="s">
        <v>42</v>
      </c>
      <c r="L452" t="s">
        <v>42</v>
      </c>
      <c r="M452" t="s">
        <v>122</v>
      </c>
      <c r="N452" t="s">
        <v>122</v>
      </c>
    </row>
    <row r="453" spans="1:14" x14ac:dyDescent="0.25">
      <c r="A453" t="s">
        <v>43</v>
      </c>
      <c r="B453" s="5" t="s">
        <v>45</v>
      </c>
      <c r="C453" t="s">
        <v>121</v>
      </c>
      <c r="D453">
        <v>29</v>
      </c>
      <c r="E453">
        <f t="shared" si="16"/>
        <v>29</v>
      </c>
      <c r="F453" t="s">
        <v>42</v>
      </c>
      <c r="G453" t="s">
        <v>42</v>
      </c>
      <c r="H453" t="s">
        <v>42</v>
      </c>
      <c r="I453" t="s">
        <v>42</v>
      </c>
      <c r="J453" t="s">
        <v>42</v>
      </c>
      <c r="K453" t="s">
        <v>42</v>
      </c>
      <c r="L453" t="s">
        <v>42</v>
      </c>
      <c r="M453" t="s">
        <v>122</v>
      </c>
      <c r="N453" t="s">
        <v>122</v>
      </c>
    </row>
    <row r="454" spans="1:14" x14ac:dyDescent="0.25">
      <c r="A454" t="s">
        <v>43</v>
      </c>
      <c r="B454" s="5" t="s">
        <v>45</v>
      </c>
      <c r="C454" t="s">
        <v>121</v>
      </c>
      <c r="D454">
        <f>22.9+20.5</f>
        <v>43.4</v>
      </c>
      <c r="E454">
        <v>22.9</v>
      </c>
      <c r="F454">
        <v>20.5</v>
      </c>
      <c r="G454" t="s">
        <v>42</v>
      </c>
      <c r="H454" t="s">
        <v>42</v>
      </c>
      <c r="I454" t="s">
        <v>42</v>
      </c>
      <c r="J454" t="s">
        <v>42</v>
      </c>
      <c r="K454" t="s">
        <v>42</v>
      </c>
      <c r="L454" t="s">
        <v>42</v>
      </c>
      <c r="M454" t="s">
        <v>124</v>
      </c>
      <c r="N454" t="s">
        <v>122</v>
      </c>
    </row>
    <row r="455" spans="1:14" x14ac:dyDescent="0.25">
      <c r="A455" t="s">
        <v>43</v>
      </c>
      <c r="B455" s="5" t="s">
        <v>45</v>
      </c>
      <c r="C455" t="s">
        <v>121</v>
      </c>
      <c r="D455">
        <v>21.9</v>
      </c>
      <c r="E455">
        <f t="shared" ref="E455:E518" si="17">D455</f>
        <v>21.9</v>
      </c>
      <c r="F455" t="s">
        <v>42</v>
      </c>
      <c r="G455" t="s">
        <v>42</v>
      </c>
      <c r="H455" t="s">
        <v>42</v>
      </c>
      <c r="I455" t="s">
        <v>42</v>
      </c>
      <c r="J455" t="s">
        <v>42</v>
      </c>
      <c r="K455" t="s">
        <v>42</v>
      </c>
      <c r="L455" t="s">
        <v>42</v>
      </c>
      <c r="M455" t="s">
        <v>122</v>
      </c>
      <c r="N455" t="s">
        <v>122</v>
      </c>
    </row>
    <row r="456" spans="1:14" x14ac:dyDescent="0.25">
      <c r="A456" t="s">
        <v>43</v>
      </c>
      <c r="B456" s="5" t="s">
        <v>45</v>
      </c>
      <c r="C456" t="s">
        <v>121</v>
      </c>
      <c r="D456">
        <v>19.2</v>
      </c>
      <c r="E456">
        <f t="shared" si="17"/>
        <v>19.2</v>
      </c>
      <c r="F456" t="s">
        <v>42</v>
      </c>
      <c r="G456" t="s">
        <v>42</v>
      </c>
      <c r="H456" t="s">
        <v>42</v>
      </c>
      <c r="I456" t="s">
        <v>42</v>
      </c>
      <c r="J456" t="s">
        <v>42</v>
      </c>
      <c r="K456" t="s">
        <v>42</v>
      </c>
      <c r="L456" t="s">
        <v>42</v>
      </c>
      <c r="M456" t="s">
        <v>122</v>
      </c>
      <c r="N456" t="s">
        <v>122</v>
      </c>
    </row>
    <row r="457" spans="1:14" x14ac:dyDescent="0.25">
      <c r="A457" t="s">
        <v>43</v>
      </c>
      <c r="B457" s="5" t="s">
        <v>45</v>
      </c>
      <c r="C457" t="s">
        <v>121</v>
      </c>
      <c r="D457">
        <v>13.2</v>
      </c>
      <c r="E457">
        <f t="shared" si="17"/>
        <v>13.2</v>
      </c>
      <c r="F457" t="s">
        <v>42</v>
      </c>
      <c r="G457" t="s">
        <v>42</v>
      </c>
      <c r="H457" t="s">
        <v>42</v>
      </c>
      <c r="I457" t="s">
        <v>42</v>
      </c>
      <c r="J457" t="s">
        <v>42</v>
      </c>
      <c r="K457" t="s">
        <v>42</v>
      </c>
      <c r="L457" t="s">
        <v>42</v>
      </c>
      <c r="M457" t="s">
        <v>122</v>
      </c>
      <c r="N457" t="s">
        <v>122</v>
      </c>
    </row>
    <row r="458" spans="1:14" x14ac:dyDescent="0.25">
      <c r="A458" t="s">
        <v>43</v>
      </c>
      <c r="B458" s="5" t="s">
        <v>45</v>
      </c>
      <c r="C458" t="s">
        <v>121</v>
      </c>
      <c r="D458">
        <v>18.2</v>
      </c>
      <c r="E458">
        <f t="shared" si="17"/>
        <v>18.2</v>
      </c>
      <c r="F458" t="s">
        <v>42</v>
      </c>
      <c r="G458" t="s">
        <v>42</v>
      </c>
      <c r="H458" t="s">
        <v>42</v>
      </c>
      <c r="I458" t="s">
        <v>42</v>
      </c>
      <c r="J458" t="s">
        <v>42</v>
      </c>
      <c r="K458" t="s">
        <v>42</v>
      </c>
      <c r="L458" t="s">
        <v>42</v>
      </c>
      <c r="M458" t="s">
        <v>122</v>
      </c>
      <c r="N458" t="s">
        <v>122</v>
      </c>
    </row>
    <row r="459" spans="1:14" x14ac:dyDescent="0.25">
      <c r="A459" t="s">
        <v>43</v>
      </c>
      <c r="B459" s="5" t="s">
        <v>45</v>
      </c>
      <c r="C459" t="s">
        <v>121</v>
      </c>
      <c r="D459">
        <v>20.2</v>
      </c>
      <c r="E459">
        <f t="shared" si="17"/>
        <v>20.2</v>
      </c>
      <c r="F459" t="s">
        <v>42</v>
      </c>
      <c r="G459" t="s">
        <v>42</v>
      </c>
      <c r="H459" t="s">
        <v>42</v>
      </c>
      <c r="I459" t="s">
        <v>42</v>
      </c>
      <c r="J459" t="s">
        <v>42</v>
      </c>
      <c r="K459" t="s">
        <v>42</v>
      </c>
      <c r="L459" t="s">
        <v>42</v>
      </c>
      <c r="M459" t="s">
        <v>122</v>
      </c>
      <c r="N459" t="s">
        <v>122</v>
      </c>
    </row>
    <row r="460" spans="1:14" x14ac:dyDescent="0.25">
      <c r="A460" t="s">
        <v>43</v>
      </c>
      <c r="B460" s="5" t="s">
        <v>45</v>
      </c>
      <c r="C460" t="s">
        <v>121</v>
      </c>
      <c r="D460">
        <v>22.8</v>
      </c>
      <c r="E460">
        <f t="shared" si="17"/>
        <v>22.8</v>
      </c>
      <c r="F460" t="s">
        <v>42</v>
      </c>
      <c r="G460" t="s">
        <v>42</v>
      </c>
      <c r="H460" t="s">
        <v>42</v>
      </c>
      <c r="I460" t="s">
        <v>42</v>
      </c>
      <c r="J460" t="s">
        <v>42</v>
      </c>
      <c r="K460" t="s">
        <v>42</v>
      </c>
      <c r="L460" t="s">
        <v>42</v>
      </c>
      <c r="M460" t="s">
        <v>122</v>
      </c>
      <c r="N460" t="s">
        <v>122</v>
      </c>
    </row>
    <row r="461" spans="1:14" x14ac:dyDescent="0.25">
      <c r="A461" t="s">
        <v>43</v>
      </c>
      <c r="B461" s="5" t="s">
        <v>45</v>
      </c>
      <c r="C461" t="s">
        <v>121</v>
      </c>
      <c r="D461">
        <v>14.2</v>
      </c>
      <c r="E461">
        <f t="shared" si="17"/>
        <v>14.2</v>
      </c>
      <c r="F461" t="s">
        <v>42</v>
      </c>
      <c r="G461" t="s">
        <v>42</v>
      </c>
      <c r="H461" t="s">
        <v>42</v>
      </c>
      <c r="I461" t="s">
        <v>42</v>
      </c>
      <c r="J461" t="s">
        <v>42</v>
      </c>
      <c r="K461" t="s">
        <v>42</v>
      </c>
      <c r="L461" t="s">
        <v>42</v>
      </c>
      <c r="M461" t="s">
        <v>122</v>
      </c>
      <c r="N461" t="s">
        <v>122</v>
      </c>
    </row>
    <row r="462" spans="1:14" x14ac:dyDescent="0.25">
      <c r="A462" t="s">
        <v>43</v>
      </c>
      <c r="B462" s="5" t="s">
        <v>45</v>
      </c>
      <c r="C462" t="s">
        <v>121</v>
      </c>
      <c r="D462">
        <v>34.299999999999997</v>
      </c>
      <c r="E462">
        <f t="shared" si="17"/>
        <v>34.299999999999997</v>
      </c>
      <c r="F462" t="s">
        <v>42</v>
      </c>
      <c r="G462" t="s">
        <v>42</v>
      </c>
      <c r="H462" t="s">
        <v>42</v>
      </c>
      <c r="I462" t="s">
        <v>42</v>
      </c>
      <c r="J462" t="s">
        <v>42</v>
      </c>
      <c r="K462" t="s">
        <v>42</v>
      </c>
      <c r="L462" t="s">
        <v>42</v>
      </c>
      <c r="M462" t="s">
        <v>122</v>
      </c>
      <c r="N462" t="s">
        <v>122</v>
      </c>
    </row>
    <row r="463" spans="1:14" x14ac:dyDescent="0.25">
      <c r="A463" t="s">
        <v>43</v>
      </c>
      <c r="B463" s="5" t="s">
        <v>45</v>
      </c>
      <c r="C463" t="s">
        <v>121</v>
      </c>
      <c r="D463">
        <v>14.1</v>
      </c>
      <c r="E463">
        <f t="shared" si="17"/>
        <v>14.1</v>
      </c>
      <c r="F463" t="s">
        <v>42</v>
      </c>
      <c r="G463" t="s">
        <v>42</v>
      </c>
      <c r="H463" t="s">
        <v>42</v>
      </c>
      <c r="I463" t="s">
        <v>42</v>
      </c>
      <c r="J463" t="s">
        <v>42</v>
      </c>
      <c r="K463" t="s">
        <v>42</v>
      </c>
      <c r="L463" t="s">
        <v>42</v>
      </c>
      <c r="M463" t="s">
        <v>122</v>
      </c>
      <c r="N463" t="s">
        <v>122</v>
      </c>
    </row>
    <row r="464" spans="1:14" x14ac:dyDescent="0.25">
      <c r="A464" t="s">
        <v>43</v>
      </c>
      <c r="B464" s="5" t="s">
        <v>45</v>
      </c>
      <c r="C464" t="s">
        <v>121</v>
      </c>
      <c r="D464">
        <v>23.7</v>
      </c>
      <c r="E464">
        <f t="shared" si="17"/>
        <v>23.7</v>
      </c>
      <c r="F464" t="s">
        <v>42</v>
      </c>
      <c r="G464" t="s">
        <v>42</v>
      </c>
      <c r="H464" t="s">
        <v>42</v>
      </c>
      <c r="I464" t="s">
        <v>42</v>
      </c>
      <c r="J464" t="s">
        <v>42</v>
      </c>
      <c r="K464" t="s">
        <v>42</v>
      </c>
      <c r="L464" t="s">
        <v>42</v>
      </c>
      <c r="M464" t="s">
        <v>122</v>
      </c>
      <c r="N464" t="s">
        <v>122</v>
      </c>
    </row>
    <row r="465" spans="1:14" x14ac:dyDescent="0.25">
      <c r="A465" t="s">
        <v>43</v>
      </c>
      <c r="B465" s="5" t="s">
        <v>45</v>
      </c>
      <c r="C465" t="s">
        <v>121</v>
      </c>
      <c r="D465">
        <v>11</v>
      </c>
      <c r="E465">
        <f t="shared" si="17"/>
        <v>11</v>
      </c>
      <c r="F465" t="s">
        <v>42</v>
      </c>
      <c r="G465" t="s">
        <v>42</v>
      </c>
      <c r="H465" t="s">
        <v>42</v>
      </c>
      <c r="I465" t="s">
        <v>42</v>
      </c>
      <c r="J465" t="s">
        <v>42</v>
      </c>
      <c r="K465" t="s">
        <v>42</v>
      </c>
      <c r="L465" t="s">
        <v>42</v>
      </c>
      <c r="M465" t="s">
        <v>122</v>
      </c>
      <c r="N465" t="s">
        <v>122</v>
      </c>
    </row>
    <row r="466" spans="1:14" x14ac:dyDescent="0.25">
      <c r="A466" t="s">
        <v>43</v>
      </c>
      <c r="B466" s="5" t="s">
        <v>45</v>
      </c>
      <c r="C466" t="s">
        <v>123</v>
      </c>
      <c r="D466">
        <v>12</v>
      </c>
      <c r="E466">
        <f t="shared" si="17"/>
        <v>12</v>
      </c>
      <c r="F466" t="s">
        <v>42</v>
      </c>
      <c r="G466" t="s">
        <v>42</v>
      </c>
      <c r="H466" t="s">
        <v>42</v>
      </c>
      <c r="I466" t="s">
        <v>42</v>
      </c>
      <c r="J466" t="s">
        <v>42</v>
      </c>
      <c r="K466" t="s">
        <v>42</v>
      </c>
      <c r="L466" t="s">
        <v>42</v>
      </c>
      <c r="M466" t="s">
        <v>122</v>
      </c>
      <c r="N466" t="s">
        <v>122</v>
      </c>
    </row>
    <row r="467" spans="1:14" x14ac:dyDescent="0.25">
      <c r="A467" t="s">
        <v>43</v>
      </c>
      <c r="B467" s="5" t="s">
        <v>45</v>
      </c>
      <c r="C467" t="s">
        <v>121</v>
      </c>
      <c r="D467">
        <v>28.7</v>
      </c>
      <c r="E467">
        <f t="shared" si="17"/>
        <v>28.7</v>
      </c>
      <c r="F467" t="s">
        <v>42</v>
      </c>
      <c r="G467" t="s">
        <v>42</v>
      </c>
      <c r="H467" t="s">
        <v>42</v>
      </c>
      <c r="I467" t="s">
        <v>42</v>
      </c>
      <c r="J467" t="s">
        <v>42</v>
      </c>
      <c r="K467" t="s">
        <v>42</v>
      </c>
      <c r="L467" t="s">
        <v>42</v>
      </c>
      <c r="M467" t="s">
        <v>122</v>
      </c>
      <c r="N467" t="s">
        <v>122</v>
      </c>
    </row>
    <row r="468" spans="1:14" x14ac:dyDescent="0.25">
      <c r="A468" t="s">
        <v>43</v>
      </c>
      <c r="B468" s="5" t="s">
        <v>45</v>
      </c>
      <c r="C468" t="s">
        <v>123</v>
      </c>
      <c r="D468">
        <v>21.8</v>
      </c>
      <c r="E468">
        <f t="shared" si="17"/>
        <v>21.8</v>
      </c>
      <c r="F468" t="s">
        <v>42</v>
      </c>
      <c r="G468" t="s">
        <v>42</v>
      </c>
      <c r="H468" t="s">
        <v>42</v>
      </c>
      <c r="I468" t="s">
        <v>42</v>
      </c>
      <c r="J468" t="s">
        <v>42</v>
      </c>
      <c r="K468" t="s">
        <v>42</v>
      </c>
      <c r="L468" t="s">
        <v>42</v>
      </c>
      <c r="M468" t="s">
        <v>128</v>
      </c>
      <c r="N468" t="s">
        <v>122</v>
      </c>
    </row>
    <row r="469" spans="1:14" x14ac:dyDescent="0.25">
      <c r="A469" t="s">
        <v>43</v>
      </c>
      <c r="B469" s="5" t="s">
        <v>45</v>
      </c>
      <c r="C469" t="s">
        <v>121</v>
      </c>
      <c r="D469">
        <v>16.2</v>
      </c>
      <c r="E469">
        <f t="shared" si="17"/>
        <v>16.2</v>
      </c>
      <c r="F469" t="s">
        <v>42</v>
      </c>
      <c r="G469" t="s">
        <v>42</v>
      </c>
      <c r="H469" t="s">
        <v>42</v>
      </c>
      <c r="I469" t="s">
        <v>42</v>
      </c>
      <c r="J469" t="s">
        <v>42</v>
      </c>
      <c r="K469" t="s">
        <v>42</v>
      </c>
      <c r="L469" t="s">
        <v>42</v>
      </c>
      <c r="M469" t="s">
        <v>128</v>
      </c>
      <c r="N469" t="s">
        <v>122</v>
      </c>
    </row>
    <row r="470" spans="1:14" x14ac:dyDescent="0.25">
      <c r="A470" t="s">
        <v>43</v>
      </c>
      <c r="B470" s="5" t="s">
        <v>45</v>
      </c>
      <c r="C470" t="s">
        <v>121</v>
      </c>
      <c r="D470">
        <v>27.1</v>
      </c>
      <c r="E470">
        <f t="shared" si="17"/>
        <v>27.1</v>
      </c>
      <c r="F470" t="s">
        <v>42</v>
      </c>
      <c r="G470" t="s">
        <v>42</v>
      </c>
      <c r="H470" t="s">
        <v>42</v>
      </c>
      <c r="I470" t="s">
        <v>42</v>
      </c>
      <c r="J470" t="s">
        <v>42</v>
      </c>
      <c r="K470" t="s">
        <v>42</v>
      </c>
      <c r="L470" t="s">
        <v>42</v>
      </c>
      <c r="M470" t="s">
        <v>122</v>
      </c>
      <c r="N470" t="s">
        <v>122</v>
      </c>
    </row>
    <row r="471" spans="1:14" x14ac:dyDescent="0.25">
      <c r="A471" t="s">
        <v>43</v>
      </c>
      <c r="B471" s="5" t="s">
        <v>45</v>
      </c>
      <c r="C471" t="s">
        <v>121</v>
      </c>
      <c r="D471">
        <v>17.8</v>
      </c>
      <c r="E471">
        <f t="shared" si="17"/>
        <v>17.8</v>
      </c>
      <c r="F471" t="s">
        <v>42</v>
      </c>
      <c r="G471" t="s">
        <v>42</v>
      </c>
      <c r="H471" t="s">
        <v>42</v>
      </c>
      <c r="I471" t="s">
        <v>42</v>
      </c>
      <c r="J471" t="s">
        <v>42</v>
      </c>
      <c r="K471" t="s">
        <v>42</v>
      </c>
      <c r="L471" t="s">
        <v>42</v>
      </c>
      <c r="M471" t="s">
        <v>122</v>
      </c>
      <c r="N471" t="s">
        <v>122</v>
      </c>
    </row>
    <row r="472" spans="1:14" x14ac:dyDescent="0.25">
      <c r="A472" t="s">
        <v>43</v>
      </c>
      <c r="B472" s="5" t="s">
        <v>45</v>
      </c>
      <c r="C472" t="s">
        <v>121</v>
      </c>
      <c r="D472">
        <v>26.4</v>
      </c>
      <c r="E472">
        <f t="shared" si="17"/>
        <v>26.4</v>
      </c>
      <c r="F472" t="s">
        <v>42</v>
      </c>
      <c r="G472" t="s">
        <v>42</v>
      </c>
      <c r="H472" t="s">
        <v>42</v>
      </c>
      <c r="I472" t="s">
        <v>42</v>
      </c>
      <c r="J472" t="s">
        <v>42</v>
      </c>
      <c r="K472" t="s">
        <v>42</v>
      </c>
      <c r="L472" t="s">
        <v>42</v>
      </c>
      <c r="M472" t="s">
        <v>122</v>
      </c>
      <c r="N472" t="s">
        <v>122</v>
      </c>
    </row>
    <row r="473" spans="1:14" x14ac:dyDescent="0.25">
      <c r="A473" t="s">
        <v>43</v>
      </c>
      <c r="B473" s="5" t="s">
        <v>45</v>
      </c>
      <c r="C473" t="s">
        <v>121</v>
      </c>
      <c r="D473">
        <v>21.2</v>
      </c>
      <c r="E473">
        <f t="shared" si="17"/>
        <v>21.2</v>
      </c>
      <c r="F473" t="s">
        <v>42</v>
      </c>
      <c r="G473" t="s">
        <v>42</v>
      </c>
      <c r="H473" t="s">
        <v>42</v>
      </c>
      <c r="I473" t="s">
        <v>42</v>
      </c>
      <c r="J473" t="s">
        <v>42</v>
      </c>
      <c r="K473" t="s">
        <v>42</v>
      </c>
      <c r="L473" t="s">
        <v>42</v>
      </c>
      <c r="M473" t="s">
        <v>122</v>
      </c>
      <c r="N473" t="s">
        <v>122</v>
      </c>
    </row>
    <row r="474" spans="1:14" x14ac:dyDescent="0.25">
      <c r="A474" t="s">
        <v>43</v>
      </c>
      <c r="B474" s="5" t="s">
        <v>45</v>
      </c>
      <c r="C474" t="s">
        <v>121</v>
      </c>
      <c r="D474">
        <v>9.1</v>
      </c>
      <c r="E474">
        <f t="shared" si="17"/>
        <v>9.1</v>
      </c>
      <c r="F474" t="s">
        <v>42</v>
      </c>
      <c r="G474" t="s">
        <v>42</v>
      </c>
      <c r="H474" t="s">
        <v>42</v>
      </c>
      <c r="I474" t="s">
        <v>42</v>
      </c>
      <c r="J474" t="s">
        <v>42</v>
      </c>
      <c r="K474" t="s">
        <v>42</v>
      </c>
      <c r="L474" t="s">
        <v>42</v>
      </c>
      <c r="M474" t="s">
        <v>122</v>
      </c>
      <c r="N474" t="s">
        <v>122</v>
      </c>
    </row>
    <row r="475" spans="1:14" x14ac:dyDescent="0.25">
      <c r="A475" t="s">
        <v>43</v>
      </c>
      <c r="B475" s="5" t="s">
        <v>45</v>
      </c>
      <c r="C475" t="s">
        <v>121</v>
      </c>
      <c r="D475">
        <v>16.3</v>
      </c>
      <c r="E475">
        <f t="shared" si="17"/>
        <v>16.3</v>
      </c>
      <c r="F475" t="s">
        <v>42</v>
      </c>
      <c r="G475" t="s">
        <v>42</v>
      </c>
      <c r="H475" t="s">
        <v>42</v>
      </c>
      <c r="I475" t="s">
        <v>42</v>
      </c>
      <c r="J475" t="s">
        <v>42</v>
      </c>
      <c r="K475" t="s">
        <v>42</v>
      </c>
      <c r="L475" t="s">
        <v>42</v>
      </c>
      <c r="M475" t="s">
        <v>122</v>
      </c>
      <c r="N475" t="s">
        <v>122</v>
      </c>
    </row>
    <row r="476" spans="1:14" x14ac:dyDescent="0.25">
      <c r="A476" t="s">
        <v>43</v>
      </c>
      <c r="B476" s="5" t="s">
        <v>45</v>
      </c>
      <c r="C476" t="s">
        <v>121</v>
      </c>
      <c r="D476">
        <v>21.1</v>
      </c>
      <c r="E476">
        <f t="shared" si="17"/>
        <v>21.1</v>
      </c>
      <c r="F476" t="s">
        <v>42</v>
      </c>
      <c r="G476" t="s">
        <v>42</v>
      </c>
      <c r="H476" t="s">
        <v>42</v>
      </c>
      <c r="I476" t="s">
        <v>42</v>
      </c>
      <c r="J476" t="s">
        <v>42</v>
      </c>
      <c r="K476" t="s">
        <v>42</v>
      </c>
      <c r="L476" t="s">
        <v>42</v>
      </c>
      <c r="M476" t="s">
        <v>122</v>
      </c>
      <c r="N476" t="s">
        <v>122</v>
      </c>
    </row>
    <row r="477" spans="1:14" x14ac:dyDescent="0.25">
      <c r="A477" t="s">
        <v>43</v>
      </c>
      <c r="B477" s="5" t="s">
        <v>45</v>
      </c>
      <c r="C477" t="s">
        <v>123</v>
      </c>
      <c r="D477">
        <v>14.9</v>
      </c>
      <c r="E477">
        <f t="shared" si="17"/>
        <v>14.9</v>
      </c>
      <c r="F477" t="s">
        <v>42</v>
      </c>
      <c r="G477" t="s">
        <v>42</v>
      </c>
      <c r="H477" t="s">
        <v>42</v>
      </c>
      <c r="I477" t="s">
        <v>42</v>
      </c>
      <c r="J477" t="s">
        <v>42</v>
      </c>
      <c r="K477" t="s">
        <v>42</v>
      </c>
      <c r="L477" t="s">
        <v>42</v>
      </c>
      <c r="M477" t="s">
        <v>122</v>
      </c>
      <c r="N477" t="s">
        <v>122</v>
      </c>
    </row>
    <row r="478" spans="1:14" x14ac:dyDescent="0.25">
      <c r="A478" t="s">
        <v>43</v>
      </c>
      <c r="B478" s="5" t="s">
        <v>45</v>
      </c>
      <c r="C478" t="s">
        <v>121</v>
      </c>
      <c r="D478">
        <v>16.5</v>
      </c>
      <c r="E478">
        <f t="shared" si="17"/>
        <v>16.5</v>
      </c>
      <c r="F478" t="s">
        <v>42</v>
      </c>
      <c r="G478" t="s">
        <v>42</v>
      </c>
      <c r="H478" t="s">
        <v>42</v>
      </c>
      <c r="I478" t="s">
        <v>42</v>
      </c>
      <c r="J478" t="s">
        <v>42</v>
      </c>
      <c r="K478" t="s">
        <v>42</v>
      </c>
      <c r="L478" t="s">
        <v>42</v>
      </c>
      <c r="M478" t="s">
        <v>122</v>
      </c>
      <c r="N478" t="s">
        <v>122</v>
      </c>
    </row>
    <row r="479" spans="1:14" x14ac:dyDescent="0.25">
      <c r="A479" t="s">
        <v>43</v>
      </c>
      <c r="B479" s="5" t="s">
        <v>45</v>
      </c>
      <c r="C479" t="s">
        <v>121</v>
      </c>
      <c r="D479">
        <v>31</v>
      </c>
      <c r="E479">
        <f t="shared" si="17"/>
        <v>31</v>
      </c>
      <c r="F479" t="s">
        <v>42</v>
      </c>
      <c r="G479" t="s">
        <v>42</v>
      </c>
      <c r="H479" t="s">
        <v>42</v>
      </c>
      <c r="I479" t="s">
        <v>42</v>
      </c>
      <c r="J479" t="s">
        <v>42</v>
      </c>
      <c r="K479" t="s">
        <v>42</v>
      </c>
      <c r="L479" t="s">
        <v>42</v>
      </c>
      <c r="M479" t="s">
        <v>122</v>
      </c>
      <c r="N479" t="s">
        <v>122</v>
      </c>
    </row>
    <row r="480" spans="1:14" x14ac:dyDescent="0.25">
      <c r="A480" t="s">
        <v>43</v>
      </c>
      <c r="B480" s="5" t="s">
        <v>45</v>
      </c>
      <c r="C480" t="s">
        <v>121</v>
      </c>
      <c r="D480">
        <v>17.100000000000001</v>
      </c>
      <c r="E480">
        <f t="shared" si="17"/>
        <v>17.100000000000001</v>
      </c>
      <c r="F480" t="s">
        <v>42</v>
      </c>
      <c r="G480" t="s">
        <v>42</v>
      </c>
      <c r="H480" t="s">
        <v>42</v>
      </c>
      <c r="I480" t="s">
        <v>42</v>
      </c>
      <c r="J480" t="s">
        <v>42</v>
      </c>
      <c r="K480" t="s">
        <v>42</v>
      </c>
      <c r="L480" t="s">
        <v>42</v>
      </c>
      <c r="M480" t="s">
        <v>122</v>
      </c>
      <c r="N480" t="s">
        <v>122</v>
      </c>
    </row>
    <row r="481" spans="1:14" x14ac:dyDescent="0.25">
      <c r="A481" t="s">
        <v>43</v>
      </c>
      <c r="B481" s="5" t="s">
        <v>45</v>
      </c>
      <c r="C481" t="s">
        <v>121</v>
      </c>
      <c r="D481">
        <v>21.3</v>
      </c>
      <c r="E481">
        <f t="shared" si="17"/>
        <v>21.3</v>
      </c>
      <c r="F481" t="s">
        <v>42</v>
      </c>
      <c r="G481" t="s">
        <v>42</v>
      </c>
      <c r="H481" t="s">
        <v>42</v>
      </c>
      <c r="I481" t="s">
        <v>42</v>
      </c>
      <c r="J481" t="s">
        <v>42</v>
      </c>
      <c r="K481" t="s">
        <v>42</v>
      </c>
      <c r="L481" t="s">
        <v>42</v>
      </c>
      <c r="M481" t="s">
        <v>122</v>
      </c>
      <c r="N481" t="s">
        <v>122</v>
      </c>
    </row>
    <row r="482" spans="1:14" x14ac:dyDescent="0.25">
      <c r="A482" t="s">
        <v>43</v>
      </c>
      <c r="B482" s="5" t="s">
        <v>45</v>
      </c>
      <c r="C482" t="s">
        <v>121</v>
      </c>
      <c r="D482">
        <v>13.9</v>
      </c>
      <c r="E482">
        <f t="shared" si="17"/>
        <v>13.9</v>
      </c>
      <c r="F482" t="s">
        <v>42</v>
      </c>
      <c r="G482" t="s">
        <v>42</v>
      </c>
      <c r="H482" t="s">
        <v>42</v>
      </c>
      <c r="I482" t="s">
        <v>42</v>
      </c>
      <c r="J482" t="s">
        <v>42</v>
      </c>
      <c r="K482" t="s">
        <v>42</v>
      </c>
      <c r="L482" t="s">
        <v>42</v>
      </c>
      <c r="M482" t="s">
        <v>122</v>
      </c>
      <c r="N482" t="s">
        <v>122</v>
      </c>
    </row>
    <row r="483" spans="1:14" x14ac:dyDescent="0.25">
      <c r="A483" t="s">
        <v>43</v>
      </c>
      <c r="B483" s="5" t="s">
        <v>45</v>
      </c>
      <c r="C483" t="s">
        <v>121</v>
      </c>
      <c r="D483">
        <v>24</v>
      </c>
      <c r="E483">
        <f t="shared" si="17"/>
        <v>24</v>
      </c>
      <c r="F483" t="s">
        <v>42</v>
      </c>
      <c r="G483" t="s">
        <v>42</v>
      </c>
      <c r="H483" t="s">
        <v>42</v>
      </c>
      <c r="I483" t="s">
        <v>42</v>
      </c>
      <c r="J483" t="s">
        <v>42</v>
      </c>
      <c r="K483" t="s">
        <v>42</v>
      </c>
      <c r="L483" t="s">
        <v>42</v>
      </c>
      <c r="M483" t="s">
        <v>122</v>
      </c>
      <c r="N483" t="s">
        <v>122</v>
      </c>
    </row>
    <row r="484" spans="1:14" x14ac:dyDescent="0.25">
      <c r="A484" t="s">
        <v>43</v>
      </c>
      <c r="B484" s="5" t="s">
        <v>45</v>
      </c>
      <c r="C484" t="s">
        <v>121</v>
      </c>
      <c r="D484">
        <v>21.9</v>
      </c>
      <c r="E484">
        <f t="shared" si="17"/>
        <v>21.9</v>
      </c>
      <c r="F484" t="s">
        <v>42</v>
      </c>
      <c r="G484" t="s">
        <v>42</v>
      </c>
      <c r="H484" t="s">
        <v>42</v>
      </c>
      <c r="I484" t="s">
        <v>42</v>
      </c>
      <c r="J484" t="s">
        <v>42</v>
      </c>
      <c r="K484" t="s">
        <v>42</v>
      </c>
      <c r="L484" t="s">
        <v>42</v>
      </c>
      <c r="M484" t="s">
        <v>122</v>
      </c>
      <c r="N484" t="s">
        <v>122</v>
      </c>
    </row>
    <row r="485" spans="1:14" x14ac:dyDescent="0.25">
      <c r="A485" t="s">
        <v>43</v>
      </c>
      <c r="B485" s="5" t="s">
        <v>45</v>
      </c>
      <c r="C485" t="s">
        <v>121</v>
      </c>
      <c r="D485">
        <v>21</v>
      </c>
      <c r="E485">
        <f t="shared" si="17"/>
        <v>21</v>
      </c>
      <c r="F485" t="s">
        <v>42</v>
      </c>
      <c r="G485" t="s">
        <v>42</v>
      </c>
      <c r="H485" t="s">
        <v>42</v>
      </c>
      <c r="I485" t="s">
        <v>42</v>
      </c>
      <c r="J485" t="s">
        <v>42</v>
      </c>
      <c r="K485" t="s">
        <v>42</v>
      </c>
      <c r="L485" t="s">
        <v>42</v>
      </c>
      <c r="M485" t="s">
        <v>122</v>
      </c>
      <c r="N485" t="s">
        <v>122</v>
      </c>
    </row>
    <row r="486" spans="1:14" x14ac:dyDescent="0.25">
      <c r="A486" t="s">
        <v>43</v>
      </c>
      <c r="B486" s="5" t="s">
        <v>45</v>
      </c>
      <c r="C486" t="s">
        <v>123</v>
      </c>
      <c r="D486">
        <v>8.8000000000000007</v>
      </c>
      <c r="E486">
        <f t="shared" si="17"/>
        <v>8.8000000000000007</v>
      </c>
      <c r="F486" t="s">
        <v>42</v>
      </c>
      <c r="G486" t="s">
        <v>42</v>
      </c>
      <c r="H486" t="s">
        <v>42</v>
      </c>
      <c r="I486" t="s">
        <v>42</v>
      </c>
      <c r="J486" t="s">
        <v>42</v>
      </c>
      <c r="K486" t="s">
        <v>42</v>
      </c>
      <c r="L486" t="s">
        <v>42</v>
      </c>
      <c r="M486" t="s">
        <v>128</v>
      </c>
      <c r="N486" t="s">
        <v>122</v>
      </c>
    </row>
    <row r="487" spans="1:14" x14ac:dyDescent="0.25">
      <c r="A487" t="s">
        <v>43</v>
      </c>
      <c r="B487" s="5" t="s">
        <v>45</v>
      </c>
      <c r="C487" t="s">
        <v>121</v>
      </c>
      <c r="D487">
        <v>19.600000000000001</v>
      </c>
      <c r="E487">
        <f t="shared" si="17"/>
        <v>19.600000000000001</v>
      </c>
      <c r="F487" t="s">
        <v>42</v>
      </c>
      <c r="G487" t="s">
        <v>42</v>
      </c>
      <c r="H487" t="s">
        <v>42</v>
      </c>
      <c r="I487" t="s">
        <v>42</v>
      </c>
      <c r="J487" t="s">
        <v>42</v>
      </c>
      <c r="K487" t="s">
        <v>42</v>
      </c>
      <c r="L487" t="s">
        <v>42</v>
      </c>
      <c r="M487" t="s">
        <v>128</v>
      </c>
      <c r="N487" t="s">
        <v>122</v>
      </c>
    </row>
    <row r="488" spans="1:14" x14ac:dyDescent="0.25">
      <c r="A488" t="s">
        <v>43</v>
      </c>
      <c r="B488" s="5" t="s">
        <v>45</v>
      </c>
      <c r="C488" t="s">
        <v>121</v>
      </c>
      <c r="D488">
        <v>22.6</v>
      </c>
      <c r="E488">
        <f t="shared" si="17"/>
        <v>22.6</v>
      </c>
      <c r="F488" t="s">
        <v>42</v>
      </c>
      <c r="G488" t="s">
        <v>42</v>
      </c>
      <c r="H488" t="s">
        <v>42</v>
      </c>
      <c r="I488" t="s">
        <v>42</v>
      </c>
      <c r="J488" t="s">
        <v>42</v>
      </c>
      <c r="K488" t="s">
        <v>42</v>
      </c>
      <c r="L488" t="s">
        <v>42</v>
      </c>
      <c r="M488" t="s">
        <v>122</v>
      </c>
      <c r="N488" t="s">
        <v>122</v>
      </c>
    </row>
    <row r="489" spans="1:14" x14ac:dyDescent="0.25">
      <c r="A489" t="s">
        <v>43</v>
      </c>
      <c r="B489" s="5" t="s">
        <v>45</v>
      </c>
      <c r="C489" t="s">
        <v>121</v>
      </c>
      <c r="D489">
        <v>18.3</v>
      </c>
      <c r="E489">
        <f t="shared" si="17"/>
        <v>18.3</v>
      </c>
      <c r="F489" t="s">
        <v>42</v>
      </c>
      <c r="G489" t="s">
        <v>42</v>
      </c>
      <c r="H489" t="s">
        <v>42</v>
      </c>
      <c r="I489" t="s">
        <v>42</v>
      </c>
      <c r="J489" t="s">
        <v>42</v>
      </c>
      <c r="K489" t="s">
        <v>42</v>
      </c>
      <c r="L489" t="s">
        <v>42</v>
      </c>
      <c r="M489" t="s">
        <v>122</v>
      </c>
      <c r="N489" t="s">
        <v>122</v>
      </c>
    </row>
    <row r="490" spans="1:14" x14ac:dyDescent="0.25">
      <c r="A490" t="s">
        <v>43</v>
      </c>
      <c r="B490" s="5" t="s">
        <v>45</v>
      </c>
      <c r="C490" t="s">
        <v>123</v>
      </c>
      <c r="D490">
        <v>17.7</v>
      </c>
      <c r="E490">
        <f t="shared" si="17"/>
        <v>17.7</v>
      </c>
      <c r="F490" t="s">
        <v>42</v>
      </c>
      <c r="G490" t="s">
        <v>42</v>
      </c>
      <c r="H490" t="s">
        <v>42</v>
      </c>
      <c r="I490" t="s">
        <v>42</v>
      </c>
      <c r="J490" t="s">
        <v>42</v>
      </c>
      <c r="K490" t="s">
        <v>42</v>
      </c>
      <c r="L490" t="s">
        <v>42</v>
      </c>
      <c r="M490" t="s">
        <v>122</v>
      </c>
      <c r="N490" t="s">
        <v>122</v>
      </c>
    </row>
    <row r="491" spans="1:14" x14ac:dyDescent="0.25">
      <c r="A491" t="s">
        <v>43</v>
      </c>
      <c r="B491" s="5" t="s">
        <v>45</v>
      </c>
      <c r="C491" t="s">
        <v>121</v>
      </c>
      <c r="D491">
        <v>18.600000000000001</v>
      </c>
      <c r="E491">
        <f t="shared" si="17"/>
        <v>18.600000000000001</v>
      </c>
      <c r="F491" t="s">
        <v>42</v>
      </c>
      <c r="G491" t="s">
        <v>42</v>
      </c>
      <c r="H491" t="s">
        <v>42</v>
      </c>
      <c r="I491" t="s">
        <v>42</v>
      </c>
      <c r="J491" t="s">
        <v>42</v>
      </c>
      <c r="K491" t="s">
        <v>42</v>
      </c>
      <c r="L491" t="s">
        <v>42</v>
      </c>
      <c r="M491" t="s">
        <v>122</v>
      </c>
      <c r="N491" t="s">
        <v>122</v>
      </c>
    </row>
    <row r="492" spans="1:14" x14ac:dyDescent="0.25">
      <c r="A492" t="s">
        <v>43</v>
      </c>
      <c r="B492" s="5" t="s">
        <v>45</v>
      </c>
      <c r="C492" t="s">
        <v>121</v>
      </c>
      <c r="D492">
        <v>18.399999999999999</v>
      </c>
      <c r="E492">
        <f t="shared" si="17"/>
        <v>18.399999999999999</v>
      </c>
      <c r="F492" t="s">
        <v>42</v>
      </c>
      <c r="G492" t="s">
        <v>42</v>
      </c>
      <c r="H492" t="s">
        <v>42</v>
      </c>
      <c r="I492" t="s">
        <v>42</v>
      </c>
      <c r="J492" t="s">
        <v>42</v>
      </c>
      <c r="K492" t="s">
        <v>42</v>
      </c>
      <c r="L492" t="s">
        <v>42</v>
      </c>
      <c r="M492" t="s">
        <v>122</v>
      </c>
      <c r="N492" t="s">
        <v>122</v>
      </c>
    </row>
    <row r="493" spans="1:14" x14ac:dyDescent="0.25">
      <c r="A493" t="s">
        <v>43</v>
      </c>
      <c r="B493" s="5" t="s">
        <v>45</v>
      </c>
      <c r="C493" t="s">
        <v>121</v>
      </c>
      <c r="D493">
        <v>11.5</v>
      </c>
      <c r="E493">
        <f t="shared" si="17"/>
        <v>11.5</v>
      </c>
      <c r="F493" t="s">
        <v>42</v>
      </c>
      <c r="G493" t="s">
        <v>42</v>
      </c>
      <c r="H493" t="s">
        <v>42</v>
      </c>
      <c r="I493" t="s">
        <v>42</v>
      </c>
      <c r="J493" t="s">
        <v>42</v>
      </c>
      <c r="K493" t="s">
        <v>42</v>
      </c>
      <c r="L493" t="s">
        <v>42</v>
      </c>
      <c r="M493" t="s">
        <v>122</v>
      </c>
      <c r="N493" t="s">
        <v>122</v>
      </c>
    </row>
    <row r="494" spans="1:14" x14ac:dyDescent="0.25">
      <c r="A494" t="s">
        <v>43</v>
      </c>
      <c r="B494" s="5" t="s">
        <v>45</v>
      </c>
      <c r="C494" t="s">
        <v>121</v>
      </c>
      <c r="D494">
        <v>18.8</v>
      </c>
      <c r="E494">
        <f t="shared" si="17"/>
        <v>18.8</v>
      </c>
      <c r="F494" t="s">
        <v>42</v>
      </c>
      <c r="G494" t="s">
        <v>42</v>
      </c>
      <c r="H494" t="s">
        <v>42</v>
      </c>
      <c r="I494" t="s">
        <v>42</v>
      </c>
      <c r="J494" t="s">
        <v>42</v>
      </c>
      <c r="K494" t="s">
        <v>42</v>
      </c>
      <c r="L494" t="s">
        <v>42</v>
      </c>
      <c r="M494" t="s">
        <v>122</v>
      </c>
      <c r="N494" t="s">
        <v>122</v>
      </c>
    </row>
    <row r="495" spans="1:14" x14ac:dyDescent="0.25">
      <c r="A495" t="s">
        <v>43</v>
      </c>
      <c r="B495" s="5" t="s">
        <v>45</v>
      </c>
      <c r="C495" t="s">
        <v>121</v>
      </c>
      <c r="D495">
        <v>14.9</v>
      </c>
      <c r="E495">
        <f t="shared" si="17"/>
        <v>14.9</v>
      </c>
      <c r="F495" t="s">
        <v>42</v>
      </c>
      <c r="G495" t="s">
        <v>42</v>
      </c>
      <c r="H495" t="s">
        <v>42</v>
      </c>
      <c r="I495" t="s">
        <v>42</v>
      </c>
      <c r="J495" t="s">
        <v>42</v>
      </c>
      <c r="K495" t="s">
        <v>42</v>
      </c>
      <c r="L495" t="s">
        <v>42</v>
      </c>
      <c r="M495" t="s">
        <v>122</v>
      </c>
      <c r="N495" t="s">
        <v>122</v>
      </c>
    </row>
    <row r="496" spans="1:14" x14ac:dyDescent="0.25">
      <c r="A496" t="s">
        <v>43</v>
      </c>
      <c r="B496" s="5" t="s">
        <v>45</v>
      </c>
      <c r="C496" t="s">
        <v>123</v>
      </c>
      <c r="D496">
        <v>9.3000000000000007</v>
      </c>
      <c r="E496">
        <f t="shared" si="17"/>
        <v>9.3000000000000007</v>
      </c>
      <c r="F496" t="s">
        <v>42</v>
      </c>
      <c r="G496" t="s">
        <v>42</v>
      </c>
      <c r="H496" t="s">
        <v>42</v>
      </c>
      <c r="I496" t="s">
        <v>42</v>
      </c>
      <c r="J496" t="s">
        <v>42</v>
      </c>
      <c r="K496" t="s">
        <v>42</v>
      </c>
      <c r="L496" t="s">
        <v>42</v>
      </c>
      <c r="M496" t="s">
        <v>122</v>
      </c>
      <c r="N496" t="s">
        <v>122</v>
      </c>
    </row>
    <row r="497" spans="1:14" x14ac:dyDescent="0.25">
      <c r="A497" t="s">
        <v>43</v>
      </c>
      <c r="B497" s="5" t="s">
        <v>45</v>
      </c>
      <c r="C497" t="s">
        <v>123</v>
      </c>
      <c r="D497">
        <v>10.9</v>
      </c>
      <c r="E497">
        <f t="shared" si="17"/>
        <v>10.9</v>
      </c>
      <c r="F497" t="s">
        <v>42</v>
      </c>
      <c r="G497" t="s">
        <v>42</v>
      </c>
      <c r="H497" t="s">
        <v>42</v>
      </c>
      <c r="I497" t="s">
        <v>42</v>
      </c>
      <c r="J497" t="s">
        <v>42</v>
      </c>
      <c r="K497" t="s">
        <v>42</v>
      </c>
      <c r="L497" t="s">
        <v>42</v>
      </c>
      <c r="M497" t="s">
        <v>122</v>
      </c>
      <c r="N497" t="s">
        <v>122</v>
      </c>
    </row>
    <row r="498" spans="1:14" x14ac:dyDescent="0.25">
      <c r="A498" t="s">
        <v>43</v>
      </c>
      <c r="B498" s="5" t="s">
        <v>45</v>
      </c>
      <c r="C498" t="s">
        <v>123</v>
      </c>
      <c r="D498">
        <v>15.2</v>
      </c>
      <c r="E498">
        <f t="shared" si="17"/>
        <v>15.2</v>
      </c>
      <c r="F498" t="s">
        <v>42</v>
      </c>
      <c r="G498" t="s">
        <v>42</v>
      </c>
      <c r="H498" t="s">
        <v>42</v>
      </c>
      <c r="I498" t="s">
        <v>42</v>
      </c>
      <c r="J498" t="s">
        <v>42</v>
      </c>
      <c r="K498" t="s">
        <v>42</v>
      </c>
      <c r="L498" t="s">
        <v>42</v>
      </c>
      <c r="M498" t="s">
        <v>122</v>
      </c>
      <c r="N498" t="s">
        <v>122</v>
      </c>
    </row>
    <row r="499" spans="1:14" x14ac:dyDescent="0.25">
      <c r="A499" t="s">
        <v>43</v>
      </c>
      <c r="B499" s="5" t="s">
        <v>45</v>
      </c>
      <c r="C499" t="s">
        <v>123</v>
      </c>
      <c r="D499">
        <v>20.6</v>
      </c>
      <c r="E499">
        <f t="shared" si="17"/>
        <v>20.6</v>
      </c>
      <c r="F499" t="s">
        <v>42</v>
      </c>
      <c r="G499" t="s">
        <v>42</v>
      </c>
      <c r="H499" t="s">
        <v>42</v>
      </c>
      <c r="I499" t="s">
        <v>42</v>
      </c>
      <c r="J499" t="s">
        <v>42</v>
      </c>
      <c r="K499" t="s">
        <v>42</v>
      </c>
      <c r="L499" t="s">
        <v>42</v>
      </c>
      <c r="M499" t="s">
        <v>122</v>
      </c>
      <c r="N499" t="s">
        <v>122</v>
      </c>
    </row>
    <row r="500" spans="1:14" x14ac:dyDescent="0.25">
      <c r="A500" t="s">
        <v>43</v>
      </c>
      <c r="B500" s="5" t="s">
        <v>45</v>
      </c>
      <c r="C500" t="s">
        <v>123</v>
      </c>
      <c r="D500">
        <v>17.2</v>
      </c>
      <c r="E500">
        <f t="shared" si="17"/>
        <v>17.2</v>
      </c>
      <c r="F500" t="s">
        <v>42</v>
      </c>
      <c r="G500" t="s">
        <v>42</v>
      </c>
      <c r="H500" t="s">
        <v>42</v>
      </c>
      <c r="I500" t="s">
        <v>42</v>
      </c>
      <c r="J500" t="s">
        <v>42</v>
      </c>
      <c r="K500" t="s">
        <v>42</v>
      </c>
      <c r="L500" t="s">
        <v>42</v>
      </c>
      <c r="M500" t="s">
        <v>122</v>
      </c>
      <c r="N500" t="s">
        <v>122</v>
      </c>
    </row>
    <row r="501" spans="1:14" x14ac:dyDescent="0.25">
      <c r="A501" t="s">
        <v>43</v>
      </c>
      <c r="B501" s="5" t="s">
        <v>45</v>
      </c>
      <c r="C501" t="s">
        <v>123</v>
      </c>
      <c r="D501">
        <v>17.600000000000001</v>
      </c>
      <c r="E501">
        <f t="shared" si="17"/>
        <v>17.600000000000001</v>
      </c>
      <c r="F501" t="s">
        <v>42</v>
      </c>
      <c r="G501" t="s">
        <v>42</v>
      </c>
      <c r="H501" t="s">
        <v>42</v>
      </c>
      <c r="I501" t="s">
        <v>42</v>
      </c>
      <c r="J501" t="s">
        <v>42</v>
      </c>
      <c r="K501" t="s">
        <v>42</v>
      </c>
      <c r="L501" t="s">
        <v>42</v>
      </c>
      <c r="M501" t="s">
        <v>122</v>
      </c>
      <c r="N501" t="s">
        <v>122</v>
      </c>
    </row>
    <row r="502" spans="1:14" x14ac:dyDescent="0.25">
      <c r="A502" t="s">
        <v>43</v>
      </c>
      <c r="B502" s="5" t="s">
        <v>45</v>
      </c>
      <c r="C502" t="s">
        <v>121</v>
      </c>
      <c r="D502">
        <v>19.600000000000001</v>
      </c>
      <c r="E502">
        <f t="shared" si="17"/>
        <v>19.600000000000001</v>
      </c>
      <c r="F502" t="s">
        <v>42</v>
      </c>
      <c r="G502" t="s">
        <v>42</v>
      </c>
      <c r="H502" t="s">
        <v>42</v>
      </c>
      <c r="I502" t="s">
        <v>42</v>
      </c>
      <c r="J502" t="s">
        <v>42</v>
      </c>
      <c r="K502" t="s">
        <v>42</v>
      </c>
      <c r="L502" t="s">
        <v>42</v>
      </c>
      <c r="M502" t="s">
        <v>122</v>
      </c>
      <c r="N502" t="s">
        <v>122</v>
      </c>
    </row>
    <row r="503" spans="1:14" x14ac:dyDescent="0.25">
      <c r="A503" t="s">
        <v>43</v>
      </c>
      <c r="B503" s="5" t="s">
        <v>45</v>
      </c>
      <c r="C503" t="s">
        <v>121</v>
      </c>
      <c r="D503">
        <v>17.7</v>
      </c>
      <c r="E503">
        <f t="shared" si="17"/>
        <v>17.7</v>
      </c>
      <c r="F503" t="s">
        <v>42</v>
      </c>
      <c r="G503" t="s">
        <v>42</v>
      </c>
      <c r="H503" t="s">
        <v>42</v>
      </c>
      <c r="I503" t="s">
        <v>42</v>
      </c>
      <c r="J503" t="s">
        <v>42</v>
      </c>
      <c r="K503" t="s">
        <v>42</v>
      </c>
      <c r="L503" t="s">
        <v>42</v>
      </c>
      <c r="M503" t="s">
        <v>122</v>
      </c>
      <c r="N503" t="s">
        <v>122</v>
      </c>
    </row>
    <row r="504" spans="1:14" x14ac:dyDescent="0.25">
      <c r="A504" t="s">
        <v>43</v>
      </c>
      <c r="B504" s="5" t="s">
        <v>45</v>
      </c>
      <c r="C504" t="s">
        <v>121</v>
      </c>
      <c r="D504">
        <v>19.899999999999999</v>
      </c>
      <c r="E504">
        <f t="shared" si="17"/>
        <v>19.899999999999999</v>
      </c>
      <c r="F504" t="s">
        <v>42</v>
      </c>
      <c r="G504" t="s">
        <v>42</v>
      </c>
      <c r="H504" t="s">
        <v>42</v>
      </c>
      <c r="I504" t="s">
        <v>42</v>
      </c>
      <c r="J504" t="s">
        <v>42</v>
      </c>
      <c r="K504" t="s">
        <v>42</v>
      </c>
      <c r="L504" t="s">
        <v>42</v>
      </c>
      <c r="M504" t="s">
        <v>122</v>
      </c>
      <c r="N504" t="s">
        <v>122</v>
      </c>
    </row>
    <row r="505" spans="1:14" x14ac:dyDescent="0.25">
      <c r="A505" t="s">
        <v>43</v>
      </c>
      <c r="B505" s="5" t="s">
        <v>45</v>
      </c>
      <c r="C505" t="s">
        <v>121</v>
      </c>
      <c r="D505">
        <v>22.8</v>
      </c>
      <c r="E505">
        <f t="shared" si="17"/>
        <v>22.8</v>
      </c>
      <c r="F505" t="s">
        <v>42</v>
      </c>
      <c r="G505" t="s">
        <v>42</v>
      </c>
      <c r="H505" t="s">
        <v>42</v>
      </c>
      <c r="I505" t="s">
        <v>42</v>
      </c>
      <c r="J505" t="s">
        <v>42</v>
      </c>
      <c r="K505" t="s">
        <v>42</v>
      </c>
      <c r="L505" t="s">
        <v>42</v>
      </c>
      <c r="M505" t="s">
        <v>122</v>
      </c>
      <c r="N505" t="s">
        <v>122</v>
      </c>
    </row>
    <row r="506" spans="1:14" x14ac:dyDescent="0.25">
      <c r="A506" t="s">
        <v>43</v>
      </c>
      <c r="B506" s="5" t="s">
        <v>45</v>
      </c>
      <c r="C506" t="s">
        <v>121</v>
      </c>
      <c r="D506">
        <v>22.6</v>
      </c>
      <c r="E506">
        <f t="shared" si="17"/>
        <v>22.6</v>
      </c>
      <c r="F506" t="s">
        <v>42</v>
      </c>
      <c r="G506" t="s">
        <v>42</v>
      </c>
      <c r="H506" t="s">
        <v>42</v>
      </c>
      <c r="I506" t="s">
        <v>42</v>
      </c>
      <c r="J506" t="s">
        <v>42</v>
      </c>
      <c r="K506" t="s">
        <v>42</v>
      </c>
      <c r="L506" t="s">
        <v>42</v>
      </c>
      <c r="M506" t="s">
        <v>122</v>
      </c>
      <c r="N506" t="s">
        <v>122</v>
      </c>
    </row>
    <row r="507" spans="1:14" x14ac:dyDescent="0.25">
      <c r="A507" t="s">
        <v>43</v>
      </c>
      <c r="B507" s="5" t="s">
        <v>45</v>
      </c>
      <c r="C507" t="s">
        <v>121</v>
      </c>
      <c r="D507">
        <v>14.9</v>
      </c>
      <c r="E507">
        <f t="shared" si="17"/>
        <v>14.9</v>
      </c>
      <c r="F507" t="s">
        <v>42</v>
      </c>
      <c r="G507" t="s">
        <v>42</v>
      </c>
      <c r="H507" t="s">
        <v>42</v>
      </c>
      <c r="I507" t="s">
        <v>42</v>
      </c>
      <c r="J507" t="s">
        <v>42</v>
      </c>
      <c r="K507" t="s">
        <v>42</v>
      </c>
      <c r="L507" t="s">
        <v>42</v>
      </c>
      <c r="M507" t="s">
        <v>122</v>
      </c>
      <c r="N507" t="s">
        <v>122</v>
      </c>
    </row>
    <row r="508" spans="1:14" x14ac:dyDescent="0.25">
      <c r="A508" t="s">
        <v>43</v>
      </c>
      <c r="B508" s="5" t="s">
        <v>45</v>
      </c>
      <c r="C508" t="s">
        <v>121</v>
      </c>
      <c r="D508">
        <v>14</v>
      </c>
      <c r="E508">
        <f t="shared" si="17"/>
        <v>14</v>
      </c>
      <c r="F508" t="s">
        <v>42</v>
      </c>
      <c r="G508" t="s">
        <v>42</v>
      </c>
      <c r="H508" t="s">
        <v>42</v>
      </c>
      <c r="I508" t="s">
        <v>42</v>
      </c>
      <c r="J508" t="s">
        <v>42</v>
      </c>
      <c r="K508" t="s">
        <v>42</v>
      </c>
      <c r="L508" t="s">
        <v>42</v>
      </c>
      <c r="M508" t="s">
        <v>122</v>
      </c>
      <c r="N508" t="s">
        <v>122</v>
      </c>
    </row>
    <row r="509" spans="1:14" x14ac:dyDescent="0.25">
      <c r="A509" t="s">
        <v>43</v>
      </c>
      <c r="B509" s="5" t="s">
        <v>45</v>
      </c>
      <c r="C509" t="s">
        <v>123</v>
      </c>
      <c r="D509">
        <v>14.9</v>
      </c>
      <c r="E509">
        <f t="shared" si="17"/>
        <v>14.9</v>
      </c>
      <c r="F509" t="s">
        <v>42</v>
      </c>
      <c r="G509" t="s">
        <v>42</v>
      </c>
      <c r="H509" t="s">
        <v>42</v>
      </c>
      <c r="I509" t="s">
        <v>42</v>
      </c>
      <c r="J509" t="s">
        <v>42</v>
      </c>
      <c r="K509" t="s">
        <v>42</v>
      </c>
      <c r="L509" t="s">
        <v>42</v>
      </c>
      <c r="M509" t="s">
        <v>122</v>
      </c>
      <c r="N509" t="s">
        <v>122</v>
      </c>
    </row>
    <row r="510" spans="1:14" x14ac:dyDescent="0.25">
      <c r="A510" t="s">
        <v>43</v>
      </c>
      <c r="B510" s="5" t="s">
        <v>45</v>
      </c>
      <c r="C510" t="s">
        <v>123</v>
      </c>
      <c r="D510">
        <v>14.8</v>
      </c>
      <c r="E510">
        <f t="shared" si="17"/>
        <v>14.8</v>
      </c>
      <c r="F510" t="s">
        <v>42</v>
      </c>
      <c r="G510" t="s">
        <v>42</v>
      </c>
      <c r="H510" t="s">
        <v>42</v>
      </c>
      <c r="I510" t="s">
        <v>42</v>
      </c>
      <c r="J510" t="s">
        <v>42</v>
      </c>
      <c r="K510" t="s">
        <v>42</v>
      </c>
      <c r="L510" t="s">
        <v>42</v>
      </c>
      <c r="M510" t="s">
        <v>122</v>
      </c>
      <c r="N510" t="s">
        <v>122</v>
      </c>
    </row>
    <row r="511" spans="1:14" x14ac:dyDescent="0.25">
      <c r="A511" t="s">
        <v>43</v>
      </c>
      <c r="B511" s="5" t="s">
        <v>45</v>
      </c>
      <c r="C511" t="s">
        <v>121</v>
      </c>
      <c r="D511">
        <v>18.3</v>
      </c>
      <c r="E511">
        <f t="shared" si="17"/>
        <v>18.3</v>
      </c>
      <c r="F511" t="s">
        <v>42</v>
      </c>
      <c r="G511" t="s">
        <v>42</v>
      </c>
      <c r="H511" t="s">
        <v>42</v>
      </c>
      <c r="I511" t="s">
        <v>42</v>
      </c>
      <c r="J511" t="s">
        <v>42</v>
      </c>
      <c r="K511" t="s">
        <v>42</v>
      </c>
      <c r="L511" t="s">
        <v>42</v>
      </c>
      <c r="M511" t="s">
        <v>122</v>
      </c>
      <c r="N511" t="s">
        <v>122</v>
      </c>
    </row>
    <row r="512" spans="1:14" x14ac:dyDescent="0.25">
      <c r="A512" t="s">
        <v>43</v>
      </c>
      <c r="B512" s="5" t="s">
        <v>45</v>
      </c>
      <c r="C512" t="s">
        <v>121</v>
      </c>
      <c r="D512">
        <v>22.3</v>
      </c>
      <c r="E512">
        <f t="shared" si="17"/>
        <v>22.3</v>
      </c>
      <c r="F512" t="s">
        <v>42</v>
      </c>
      <c r="G512" t="s">
        <v>42</v>
      </c>
      <c r="H512" t="s">
        <v>42</v>
      </c>
      <c r="I512" t="s">
        <v>42</v>
      </c>
      <c r="J512" t="s">
        <v>42</v>
      </c>
      <c r="K512" t="s">
        <v>42</v>
      </c>
      <c r="L512" t="s">
        <v>42</v>
      </c>
      <c r="M512" t="s">
        <v>122</v>
      </c>
      <c r="N512" t="s">
        <v>122</v>
      </c>
    </row>
    <row r="513" spans="1:14" x14ac:dyDescent="0.25">
      <c r="A513" t="s">
        <v>43</v>
      </c>
      <c r="B513" s="5" t="s">
        <v>45</v>
      </c>
      <c r="C513" t="s">
        <v>121</v>
      </c>
      <c r="D513">
        <v>19.899999999999999</v>
      </c>
      <c r="E513">
        <f t="shared" si="17"/>
        <v>19.899999999999999</v>
      </c>
      <c r="F513" t="s">
        <v>42</v>
      </c>
      <c r="G513" t="s">
        <v>42</v>
      </c>
      <c r="H513" t="s">
        <v>42</v>
      </c>
      <c r="I513" t="s">
        <v>42</v>
      </c>
      <c r="J513" t="s">
        <v>42</v>
      </c>
      <c r="K513" t="s">
        <v>42</v>
      </c>
      <c r="L513" t="s">
        <v>42</v>
      </c>
      <c r="M513" t="s">
        <v>122</v>
      </c>
      <c r="N513" t="s">
        <v>122</v>
      </c>
    </row>
    <row r="514" spans="1:14" x14ac:dyDescent="0.25">
      <c r="A514" t="s">
        <v>43</v>
      </c>
      <c r="B514" s="5" t="s">
        <v>45</v>
      </c>
      <c r="C514" t="s">
        <v>123</v>
      </c>
      <c r="D514">
        <v>13.1</v>
      </c>
      <c r="E514">
        <f t="shared" si="17"/>
        <v>13.1</v>
      </c>
      <c r="F514" t="s">
        <v>42</v>
      </c>
      <c r="G514" t="s">
        <v>42</v>
      </c>
      <c r="H514" t="s">
        <v>42</v>
      </c>
      <c r="I514" t="s">
        <v>42</v>
      </c>
      <c r="J514" t="s">
        <v>42</v>
      </c>
      <c r="K514" t="s">
        <v>42</v>
      </c>
      <c r="L514" t="s">
        <v>42</v>
      </c>
      <c r="M514" t="s">
        <v>122</v>
      </c>
      <c r="N514" t="s">
        <v>122</v>
      </c>
    </row>
    <row r="515" spans="1:14" x14ac:dyDescent="0.25">
      <c r="A515" t="s">
        <v>43</v>
      </c>
      <c r="B515" s="5" t="s">
        <v>45</v>
      </c>
      <c r="C515" t="s">
        <v>123</v>
      </c>
      <c r="D515">
        <v>7.7</v>
      </c>
      <c r="E515">
        <f t="shared" si="17"/>
        <v>7.7</v>
      </c>
      <c r="F515" t="s">
        <v>42</v>
      </c>
      <c r="G515" t="s">
        <v>42</v>
      </c>
      <c r="H515" t="s">
        <v>42</v>
      </c>
      <c r="I515" t="s">
        <v>42</v>
      </c>
      <c r="J515" t="s">
        <v>42</v>
      </c>
      <c r="K515" t="s">
        <v>42</v>
      </c>
      <c r="L515" t="s">
        <v>42</v>
      </c>
      <c r="M515" t="s">
        <v>122</v>
      </c>
      <c r="N515" t="s">
        <v>122</v>
      </c>
    </row>
    <row r="516" spans="1:14" x14ac:dyDescent="0.25">
      <c r="A516" t="s">
        <v>43</v>
      </c>
      <c r="B516" s="5" t="s">
        <v>45</v>
      </c>
      <c r="C516" t="s">
        <v>123</v>
      </c>
      <c r="D516">
        <v>14</v>
      </c>
      <c r="E516">
        <f t="shared" si="17"/>
        <v>14</v>
      </c>
      <c r="F516" t="s">
        <v>42</v>
      </c>
      <c r="G516" t="s">
        <v>42</v>
      </c>
      <c r="H516" t="s">
        <v>42</v>
      </c>
      <c r="I516" t="s">
        <v>42</v>
      </c>
      <c r="J516" t="s">
        <v>42</v>
      </c>
      <c r="K516" t="s">
        <v>42</v>
      </c>
      <c r="L516" t="s">
        <v>42</v>
      </c>
      <c r="M516" t="s">
        <v>122</v>
      </c>
      <c r="N516" t="s">
        <v>122</v>
      </c>
    </row>
    <row r="517" spans="1:14" x14ac:dyDescent="0.25">
      <c r="A517" t="s">
        <v>43</v>
      </c>
      <c r="B517" s="5" t="s">
        <v>45</v>
      </c>
      <c r="C517" t="s">
        <v>121</v>
      </c>
      <c r="D517">
        <v>25.3</v>
      </c>
      <c r="E517">
        <f t="shared" si="17"/>
        <v>25.3</v>
      </c>
      <c r="F517" t="s">
        <v>42</v>
      </c>
      <c r="G517" t="s">
        <v>42</v>
      </c>
      <c r="H517" t="s">
        <v>42</v>
      </c>
      <c r="I517" t="s">
        <v>42</v>
      </c>
      <c r="J517" t="s">
        <v>42</v>
      </c>
      <c r="K517" t="s">
        <v>42</v>
      </c>
      <c r="L517" t="s">
        <v>42</v>
      </c>
      <c r="M517" t="s">
        <v>122</v>
      </c>
      <c r="N517" t="s">
        <v>122</v>
      </c>
    </row>
    <row r="518" spans="1:14" x14ac:dyDescent="0.25">
      <c r="A518" t="s">
        <v>43</v>
      </c>
      <c r="B518" s="5" t="s">
        <v>45</v>
      </c>
      <c r="C518" t="s">
        <v>123</v>
      </c>
      <c r="D518">
        <v>13</v>
      </c>
      <c r="E518">
        <f t="shared" si="17"/>
        <v>13</v>
      </c>
      <c r="F518" t="s">
        <v>42</v>
      </c>
      <c r="G518" t="s">
        <v>42</v>
      </c>
      <c r="H518" t="s">
        <v>42</v>
      </c>
      <c r="I518" t="s">
        <v>42</v>
      </c>
      <c r="J518" t="s">
        <v>42</v>
      </c>
      <c r="K518" t="s">
        <v>42</v>
      </c>
      <c r="L518" t="s">
        <v>42</v>
      </c>
      <c r="M518" t="s">
        <v>122</v>
      </c>
      <c r="N518" t="s">
        <v>122</v>
      </c>
    </row>
    <row r="519" spans="1:14" x14ac:dyDescent="0.25">
      <c r="A519" t="s">
        <v>43</v>
      </c>
      <c r="B519" s="5" t="s">
        <v>45</v>
      </c>
      <c r="C519" t="s">
        <v>123</v>
      </c>
      <c r="D519">
        <v>15</v>
      </c>
      <c r="E519">
        <f t="shared" ref="E519:E582" si="18">D519</f>
        <v>15</v>
      </c>
      <c r="F519" t="s">
        <v>42</v>
      </c>
      <c r="G519" t="s">
        <v>42</v>
      </c>
      <c r="H519" t="s">
        <v>42</v>
      </c>
      <c r="I519" t="s">
        <v>42</v>
      </c>
      <c r="J519" t="s">
        <v>42</v>
      </c>
      <c r="K519" t="s">
        <v>42</v>
      </c>
      <c r="L519" t="s">
        <v>42</v>
      </c>
      <c r="M519" t="s">
        <v>122</v>
      </c>
      <c r="N519" t="s">
        <v>122</v>
      </c>
    </row>
    <row r="520" spans="1:14" x14ac:dyDescent="0.25">
      <c r="A520" t="s">
        <v>43</v>
      </c>
      <c r="B520" s="5" t="s">
        <v>45</v>
      </c>
      <c r="C520" t="s">
        <v>123</v>
      </c>
      <c r="D520">
        <v>13.1</v>
      </c>
      <c r="E520">
        <f t="shared" si="18"/>
        <v>13.1</v>
      </c>
      <c r="F520" t="s">
        <v>42</v>
      </c>
      <c r="G520" t="s">
        <v>42</v>
      </c>
      <c r="H520" t="s">
        <v>42</v>
      </c>
      <c r="I520" t="s">
        <v>42</v>
      </c>
      <c r="J520" t="s">
        <v>42</v>
      </c>
      <c r="K520" t="s">
        <v>42</v>
      </c>
      <c r="L520" t="s">
        <v>42</v>
      </c>
      <c r="M520" t="s">
        <v>122</v>
      </c>
      <c r="N520" t="s">
        <v>122</v>
      </c>
    </row>
    <row r="521" spans="1:14" x14ac:dyDescent="0.25">
      <c r="A521" t="s">
        <v>43</v>
      </c>
      <c r="B521" s="5" t="s">
        <v>45</v>
      </c>
      <c r="C521" t="s">
        <v>123</v>
      </c>
      <c r="D521">
        <v>13.9</v>
      </c>
      <c r="E521">
        <f t="shared" si="18"/>
        <v>13.9</v>
      </c>
      <c r="F521" t="s">
        <v>42</v>
      </c>
      <c r="G521" t="s">
        <v>42</v>
      </c>
      <c r="H521" t="s">
        <v>42</v>
      </c>
      <c r="I521" t="s">
        <v>42</v>
      </c>
      <c r="J521" t="s">
        <v>42</v>
      </c>
      <c r="K521" t="s">
        <v>42</v>
      </c>
      <c r="L521" t="s">
        <v>42</v>
      </c>
      <c r="M521" t="s">
        <v>122</v>
      </c>
      <c r="N521" t="s">
        <v>122</v>
      </c>
    </row>
    <row r="522" spans="1:14" x14ac:dyDescent="0.25">
      <c r="A522" t="s">
        <v>43</v>
      </c>
      <c r="B522" s="5" t="s">
        <v>45</v>
      </c>
      <c r="C522" t="s">
        <v>123</v>
      </c>
      <c r="D522">
        <v>11.6</v>
      </c>
      <c r="E522">
        <f t="shared" si="18"/>
        <v>11.6</v>
      </c>
      <c r="F522" t="s">
        <v>42</v>
      </c>
      <c r="G522" t="s">
        <v>42</v>
      </c>
      <c r="H522" t="s">
        <v>42</v>
      </c>
      <c r="I522" t="s">
        <v>42</v>
      </c>
      <c r="J522" t="s">
        <v>42</v>
      </c>
      <c r="K522" t="s">
        <v>42</v>
      </c>
      <c r="L522" t="s">
        <v>42</v>
      </c>
      <c r="M522" t="s">
        <v>122</v>
      </c>
      <c r="N522" t="s">
        <v>122</v>
      </c>
    </row>
    <row r="523" spans="1:14" x14ac:dyDescent="0.25">
      <c r="A523" t="s">
        <v>43</v>
      </c>
      <c r="B523" s="5" t="s">
        <v>45</v>
      </c>
      <c r="C523" t="s">
        <v>123</v>
      </c>
      <c r="D523">
        <v>23.6</v>
      </c>
      <c r="E523">
        <f t="shared" si="18"/>
        <v>23.6</v>
      </c>
      <c r="F523" t="s">
        <v>42</v>
      </c>
      <c r="G523" t="s">
        <v>42</v>
      </c>
      <c r="H523" t="s">
        <v>42</v>
      </c>
      <c r="I523" t="s">
        <v>42</v>
      </c>
      <c r="J523" t="s">
        <v>42</v>
      </c>
      <c r="K523" t="s">
        <v>42</v>
      </c>
      <c r="L523" t="s">
        <v>42</v>
      </c>
      <c r="M523" t="s">
        <v>122</v>
      </c>
      <c r="N523" t="s">
        <v>122</v>
      </c>
    </row>
    <row r="524" spans="1:14" x14ac:dyDescent="0.25">
      <c r="A524" t="s">
        <v>43</v>
      </c>
      <c r="B524" s="5" t="s">
        <v>45</v>
      </c>
      <c r="C524" t="s">
        <v>123</v>
      </c>
      <c r="D524">
        <v>21.9</v>
      </c>
      <c r="E524">
        <f t="shared" si="18"/>
        <v>21.9</v>
      </c>
      <c r="F524" t="s">
        <v>42</v>
      </c>
      <c r="G524" t="s">
        <v>42</v>
      </c>
      <c r="H524" t="s">
        <v>42</v>
      </c>
      <c r="I524" t="s">
        <v>42</v>
      </c>
      <c r="J524" t="s">
        <v>42</v>
      </c>
      <c r="K524" t="s">
        <v>42</v>
      </c>
      <c r="L524" t="s">
        <v>42</v>
      </c>
      <c r="M524" t="s">
        <v>122</v>
      </c>
      <c r="N524" t="s">
        <v>122</v>
      </c>
    </row>
    <row r="525" spans="1:14" x14ac:dyDescent="0.25">
      <c r="A525" t="s">
        <v>43</v>
      </c>
      <c r="B525" s="5" t="s">
        <v>45</v>
      </c>
      <c r="C525" t="s">
        <v>123</v>
      </c>
      <c r="D525">
        <v>21.3</v>
      </c>
      <c r="E525">
        <f t="shared" si="18"/>
        <v>21.3</v>
      </c>
      <c r="F525" t="s">
        <v>42</v>
      </c>
      <c r="G525" t="s">
        <v>42</v>
      </c>
      <c r="H525" t="s">
        <v>42</v>
      </c>
      <c r="I525" t="s">
        <v>42</v>
      </c>
      <c r="J525" t="s">
        <v>42</v>
      </c>
      <c r="K525" t="s">
        <v>42</v>
      </c>
      <c r="L525" t="s">
        <v>42</v>
      </c>
      <c r="M525" t="s">
        <v>122</v>
      </c>
      <c r="N525" t="s">
        <v>122</v>
      </c>
    </row>
    <row r="526" spans="1:14" x14ac:dyDescent="0.25">
      <c r="A526" t="s">
        <v>43</v>
      </c>
      <c r="B526" s="5" t="s">
        <v>45</v>
      </c>
      <c r="C526" t="s">
        <v>121</v>
      </c>
      <c r="D526">
        <v>16.3</v>
      </c>
      <c r="E526">
        <f t="shared" si="18"/>
        <v>16.3</v>
      </c>
      <c r="F526" t="s">
        <v>42</v>
      </c>
      <c r="G526" t="s">
        <v>42</v>
      </c>
      <c r="H526" t="s">
        <v>42</v>
      </c>
      <c r="I526" t="s">
        <v>42</v>
      </c>
      <c r="J526" t="s">
        <v>42</v>
      </c>
      <c r="K526" t="s">
        <v>42</v>
      </c>
      <c r="L526" t="s">
        <v>42</v>
      </c>
      <c r="M526" t="s">
        <v>122</v>
      </c>
      <c r="N526" t="s">
        <v>122</v>
      </c>
    </row>
    <row r="527" spans="1:14" x14ac:dyDescent="0.25">
      <c r="A527" t="s">
        <v>43</v>
      </c>
      <c r="B527" s="5" t="s">
        <v>45</v>
      </c>
      <c r="C527" t="s">
        <v>121</v>
      </c>
      <c r="D527">
        <v>19.5</v>
      </c>
      <c r="E527">
        <f t="shared" si="18"/>
        <v>19.5</v>
      </c>
      <c r="F527" t="s">
        <v>42</v>
      </c>
      <c r="G527" t="s">
        <v>42</v>
      </c>
      <c r="H527" t="s">
        <v>42</v>
      </c>
      <c r="I527" t="s">
        <v>42</v>
      </c>
      <c r="J527" t="s">
        <v>42</v>
      </c>
      <c r="K527" t="s">
        <v>42</v>
      </c>
      <c r="L527" t="s">
        <v>42</v>
      </c>
      <c r="M527" t="s">
        <v>122</v>
      </c>
      <c r="N527" t="s">
        <v>122</v>
      </c>
    </row>
    <row r="528" spans="1:14" x14ac:dyDescent="0.25">
      <c r="A528" t="s">
        <v>43</v>
      </c>
      <c r="B528" s="5" t="s">
        <v>45</v>
      </c>
      <c r="C528" t="s">
        <v>121</v>
      </c>
      <c r="D528">
        <v>14.5</v>
      </c>
      <c r="E528">
        <f t="shared" si="18"/>
        <v>14.5</v>
      </c>
      <c r="F528" t="s">
        <v>42</v>
      </c>
      <c r="G528" t="s">
        <v>42</v>
      </c>
      <c r="H528" t="s">
        <v>42</v>
      </c>
      <c r="I528" t="s">
        <v>42</v>
      </c>
      <c r="J528" t="s">
        <v>42</v>
      </c>
      <c r="K528" t="s">
        <v>42</v>
      </c>
      <c r="L528" t="s">
        <v>42</v>
      </c>
      <c r="M528" t="s">
        <v>122</v>
      </c>
      <c r="N528" t="s">
        <v>122</v>
      </c>
    </row>
    <row r="529" spans="1:14" x14ac:dyDescent="0.25">
      <c r="A529" t="s">
        <v>43</v>
      </c>
      <c r="B529" s="5" t="s">
        <v>45</v>
      </c>
      <c r="C529" t="s">
        <v>121</v>
      </c>
      <c r="D529">
        <v>29.3</v>
      </c>
      <c r="E529">
        <f t="shared" si="18"/>
        <v>29.3</v>
      </c>
      <c r="F529" t="s">
        <v>42</v>
      </c>
      <c r="G529" t="s">
        <v>42</v>
      </c>
      <c r="H529" t="s">
        <v>42</v>
      </c>
      <c r="I529" t="s">
        <v>42</v>
      </c>
      <c r="J529" t="s">
        <v>42</v>
      </c>
      <c r="K529" t="s">
        <v>42</v>
      </c>
      <c r="L529" t="s">
        <v>42</v>
      </c>
      <c r="M529" t="s">
        <v>122</v>
      </c>
      <c r="N529" t="s">
        <v>122</v>
      </c>
    </row>
    <row r="530" spans="1:14" x14ac:dyDescent="0.25">
      <c r="A530" t="s">
        <v>43</v>
      </c>
      <c r="B530" s="5" t="s">
        <v>45</v>
      </c>
      <c r="C530" t="s">
        <v>123</v>
      </c>
      <c r="D530">
        <v>10</v>
      </c>
      <c r="E530">
        <f t="shared" si="18"/>
        <v>10</v>
      </c>
      <c r="F530" t="s">
        <v>42</v>
      </c>
      <c r="G530" t="s">
        <v>42</v>
      </c>
      <c r="H530" t="s">
        <v>42</v>
      </c>
      <c r="I530" t="s">
        <v>42</v>
      </c>
      <c r="J530" t="s">
        <v>42</v>
      </c>
      <c r="K530" t="s">
        <v>42</v>
      </c>
      <c r="L530" t="s">
        <v>42</v>
      </c>
      <c r="M530" t="s">
        <v>122</v>
      </c>
      <c r="N530" t="s">
        <v>122</v>
      </c>
    </row>
    <row r="531" spans="1:14" x14ac:dyDescent="0.25">
      <c r="A531" t="s">
        <v>43</v>
      </c>
      <c r="B531" s="5" t="s">
        <v>45</v>
      </c>
      <c r="C531" t="s">
        <v>123</v>
      </c>
      <c r="D531">
        <v>24.8</v>
      </c>
      <c r="E531">
        <f t="shared" si="18"/>
        <v>24.8</v>
      </c>
      <c r="F531" t="s">
        <v>42</v>
      </c>
      <c r="G531" t="s">
        <v>42</v>
      </c>
      <c r="H531" t="s">
        <v>42</v>
      </c>
      <c r="I531" t="s">
        <v>42</v>
      </c>
      <c r="J531" t="s">
        <v>42</v>
      </c>
      <c r="K531" t="s">
        <v>42</v>
      </c>
      <c r="L531" t="s">
        <v>42</v>
      </c>
      <c r="M531" t="s">
        <v>122</v>
      </c>
      <c r="N531" t="s">
        <v>122</v>
      </c>
    </row>
    <row r="532" spans="1:14" x14ac:dyDescent="0.25">
      <c r="A532" t="s">
        <v>43</v>
      </c>
      <c r="B532" s="5" t="s">
        <v>45</v>
      </c>
      <c r="C532" t="s">
        <v>123</v>
      </c>
      <c r="D532">
        <v>19.5</v>
      </c>
      <c r="E532">
        <f t="shared" si="18"/>
        <v>19.5</v>
      </c>
      <c r="F532" t="s">
        <v>42</v>
      </c>
      <c r="G532" t="s">
        <v>42</v>
      </c>
      <c r="H532" t="s">
        <v>42</v>
      </c>
      <c r="I532" t="s">
        <v>42</v>
      </c>
      <c r="J532" t="s">
        <v>42</v>
      </c>
      <c r="K532" t="s">
        <v>42</v>
      </c>
      <c r="L532" t="s">
        <v>42</v>
      </c>
      <c r="M532" t="s">
        <v>122</v>
      </c>
      <c r="N532" t="s">
        <v>122</v>
      </c>
    </row>
    <row r="533" spans="1:14" x14ac:dyDescent="0.25">
      <c r="A533" t="s">
        <v>43</v>
      </c>
      <c r="B533" s="5" t="s">
        <v>45</v>
      </c>
      <c r="C533" t="s">
        <v>123</v>
      </c>
      <c r="D533">
        <v>8</v>
      </c>
      <c r="E533">
        <f t="shared" si="18"/>
        <v>8</v>
      </c>
      <c r="F533" t="s">
        <v>42</v>
      </c>
      <c r="G533" t="s">
        <v>42</v>
      </c>
      <c r="H533" t="s">
        <v>42</v>
      </c>
      <c r="I533" t="s">
        <v>42</v>
      </c>
      <c r="J533" t="s">
        <v>42</v>
      </c>
      <c r="K533" t="s">
        <v>42</v>
      </c>
      <c r="L533" t="s">
        <v>42</v>
      </c>
      <c r="M533" t="s">
        <v>122</v>
      </c>
      <c r="N533" t="s">
        <v>122</v>
      </c>
    </row>
    <row r="534" spans="1:14" x14ac:dyDescent="0.25">
      <c r="A534" t="s">
        <v>43</v>
      </c>
      <c r="B534" s="5" t="s">
        <v>45</v>
      </c>
      <c r="C534" t="s">
        <v>123</v>
      </c>
      <c r="D534">
        <v>8</v>
      </c>
      <c r="E534">
        <f t="shared" si="18"/>
        <v>8</v>
      </c>
      <c r="F534" t="s">
        <v>42</v>
      </c>
      <c r="G534" t="s">
        <v>42</v>
      </c>
      <c r="H534" t="s">
        <v>42</v>
      </c>
      <c r="I534" t="s">
        <v>42</v>
      </c>
      <c r="J534" t="s">
        <v>42</v>
      </c>
      <c r="K534" t="s">
        <v>42</v>
      </c>
      <c r="L534" t="s">
        <v>42</v>
      </c>
      <c r="M534" t="s">
        <v>122</v>
      </c>
      <c r="N534" t="s">
        <v>122</v>
      </c>
    </row>
    <row r="535" spans="1:14" x14ac:dyDescent="0.25">
      <c r="A535" t="s">
        <v>43</v>
      </c>
      <c r="B535" s="5" t="s">
        <v>45</v>
      </c>
      <c r="C535" t="s">
        <v>123</v>
      </c>
      <c r="D535">
        <v>20.6</v>
      </c>
      <c r="E535">
        <f t="shared" si="18"/>
        <v>20.6</v>
      </c>
      <c r="F535" t="s">
        <v>42</v>
      </c>
      <c r="G535" t="s">
        <v>42</v>
      </c>
      <c r="H535" t="s">
        <v>42</v>
      </c>
      <c r="I535" t="s">
        <v>42</v>
      </c>
      <c r="J535" t="s">
        <v>42</v>
      </c>
      <c r="K535" t="s">
        <v>42</v>
      </c>
      <c r="L535" t="s">
        <v>42</v>
      </c>
      <c r="M535" t="s">
        <v>122</v>
      </c>
      <c r="N535" t="s">
        <v>122</v>
      </c>
    </row>
    <row r="536" spans="1:14" x14ac:dyDescent="0.25">
      <c r="A536" t="s">
        <v>43</v>
      </c>
      <c r="B536" s="5" t="s">
        <v>45</v>
      </c>
      <c r="C536" t="s">
        <v>123</v>
      </c>
      <c r="D536">
        <v>8.1</v>
      </c>
      <c r="E536">
        <f t="shared" si="18"/>
        <v>8.1</v>
      </c>
      <c r="F536" t="s">
        <v>42</v>
      </c>
      <c r="G536" t="s">
        <v>42</v>
      </c>
      <c r="H536" t="s">
        <v>42</v>
      </c>
      <c r="I536" t="s">
        <v>42</v>
      </c>
      <c r="J536" t="s">
        <v>42</v>
      </c>
      <c r="K536" t="s">
        <v>42</v>
      </c>
      <c r="L536" t="s">
        <v>42</v>
      </c>
      <c r="M536" t="s">
        <v>122</v>
      </c>
      <c r="N536" t="s">
        <v>122</v>
      </c>
    </row>
    <row r="537" spans="1:14" x14ac:dyDescent="0.25">
      <c r="A537" t="s">
        <v>43</v>
      </c>
      <c r="B537" s="5" t="s">
        <v>45</v>
      </c>
      <c r="C537" t="s">
        <v>123</v>
      </c>
      <c r="D537">
        <v>9.1999999999999993</v>
      </c>
      <c r="E537">
        <f t="shared" si="18"/>
        <v>9.1999999999999993</v>
      </c>
      <c r="F537" t="s">
        <v>42</v>
      </c>
      <c r="G537" t="s">
        <v>42</v>
      </c>
      <c r="H537" t="s">
        <v>42</v>
      </c>
      <c r="I537" t="s">
        <v>42</v>
      </c>
      <c r="J537" t="s">
        <v>42</v>
      </c>
      <c r="K537" t="s">
        <v>42</v>
      </c>
      <c r="L537" t="s">
        <v>42</v>
      </c>
      <c r="M537" t="s">
        <v>122</v>
      </c>
      <c r="N537" t="s">
        <v>122</v>
      </c>
    </row>
    <row r="538" spans="1:14" x14ac:dyDescent="0.25">
      <c r="A538" t="s">
        <v>43</v>
      </c>
      <c r="B538" s="5" t="s">
        <v>45</v>
      </c>
      <c r="C538" t="s">
        <v>121</v>
      </c>
      <c r="D538">
        <v>17.3</v>
      </c>
      <c r="E538">
        <f t="shared" si="18"/>
        <v>17.3</v>
      </c>
      <c r="F538" t="s">
        <v>42</v>
      </c>
      <c r="G538" t="s">
        <v>42</v>
      </c>
      <c r="H538" t="s">
        <v>42</v>
      </c>
      <c r="I538" t="s">
        <v>42</v>
      </c>
      <c r="J538" t="s">
        <v>42</v>
      </c>
      <c r="K538" t="s">
        <v>42</v>
      </c>
      <c r="L538" t="s">
        <v>42</v>
      </c>
      <c r="M538" t="s">
        <v>122</v>
      </c>
      <c r="N538" t="s">
        <v>122</v>
      </c>
    </row>
    <row r="539" spans="1:14" x14ac:dyDescent="0.25">
      <c r="A539" t="s">
        <v>43</v>
      </c>
      <c r="B539" s="5" t="s">
        <v>45</v>
      </c>
      <c r="C539" t="s">
        <v>123</v>
      </c>
      <c r="D539">
        <v>18</v>
      </c>
      <c r="E539">
        <f t="shared" si="18"/>
        <v>18</v>
      </c>
      <c r="F539" t="s">
        <v>42</v>
      </c>
      <c r="G539" t="s">
        <v>42</v>
      </c>
      <c r="H539" t="s">
        <v>42</v>
      </c>
      <c r="I539" t="s">
        <v>42</v>
      </c>
      <c r="J539" t="s">
        <v>42</v>
      </c>
      <c r="K539" t="s">
        <v>42</v>
      </c>
      <c r="L539" t="s">
        <v>42</v>
      </c>
      <c r="M539" t="s">
        <v>122</v>
      </c>
      <c r="N539" t="s">
        <v>122</v>
      </c>
    </row>
    <row r="540" spans="1:14" x14ac:dyDescent="0.25">
      <c r="A540" t="s">
        <v>43</v>
      </c>
      <c r="B540" s="5" t="s">
        <v>45</v>
      </c>
      <c r="C540" t="s">
        <v>123</v>
      </c>
      <c r="D540">
        <v>21.4</v>
      </c>
      <c r="E540">
        <f t="shared" si="18"/>
        <v>21.4</v>
      </c>
      <c r="F540" t="s">
        <v>42</v>
      </c>
      <c r="G540" t="s">
        <v>42</v>
      </c>
      <c r="H540" t="s">
        <v>42</v>
      </c>
      <c r="I540" t="s">
        <v>42</v>
      </c>
      <c r="J540" t="s">
        <v>42</v>
      </c>
      <c r="K540" t="s">
        <v>42</v>
      </c>
      <c r="L540" t="s">
        <v>42</v>
      </c>
      <c r="M540" t="s">
        <v>122</v>
      </c>
      <c r="N540" t="s">
        <v>122</v>
      </c>
    </row>
    <row r="541" spans="1:14" x14ac:dyDescent="0.25">
      <c r="A541" t="s">
        <v>43</v>
      </c>
      <c r="B541" s="5" t="s">
        <v>45</v>
      </c>
      <c r="C541" t="s">
        <v>123</v>
      </c>
      <c r="D541">
        <v>17.899999999999999</v>
      </c>
      <c r="E541">
        <f t="shared" si="18"/>
        <v>17.899999999999999</v>
      </c>
      <c r="F541" t="s">
        <v>42</v>
      </c>
      <c r="G541" t="s">
        <v>42</v>
      </c>
      <c r="H541" t="s">
        <v>42</v>
      </c>
      <c r="I541" t="s">
        <v>42</v>
      </c>
      <c r="J541" t="s">
        <v>42</v>
      </c>
      <c r="K541" t="s">
        <v>42</v>
      </c>
      <c r="L541" t="s">
        <v>42</v>
      </c>
      <c r="M541" t="s">
        <v>122</v>
      </c>
      <c r="N541" t="s">
        <v>122</v>
      </c>
    </row>
    <row r="542" spans="1:14" x14ac:dyDescent="0.25">
      <c r="A542" t="s">
        <v>43</v>
      </c>
      <c r="B542" s="5" t="s">
        <v>45</v>
      </c>
      <c r="C542" t="s">
        <v>121</v>
      </c>
      <c r="D542">
        <v>14.9</v>
      </c>
      <c r="E542">
        <f t="shared" si="18"/>
        <v>14.9</v>
      </c>
      <c r="F542" t="s">
        <v>42</v>
      </c>
      <c r="G542" t="s">
        <v>42</v>
      </c>
      <c r="H542" t="s">
        <v>42</v>
      </c>
      <c r="I542" t="s">
        <v>42</v>
      </c>
      <c r="J542" t="s">
        <v>42</v>
      </c>
      <c r="K542" t="s">
        <v>42</v>
      </c>
      <c r="L542" t="s">
        <v>42</v>
      </c>
      <c r="M542" t="s">
        <v>122</v>
      </c>
      <c r="N542" t="s">
        <v>122</v>
      </c>
    </row>
    <row r="543" spans="1:14" x14ac:dyDescent="0.25">
      <c r="A543" t="s">
        <v>43</v>
      </c>
      <c r="B543" s="5" t="s">
        <v>45</v>
      </c>
      <c r="C543" t="s">
        <v>121</v>
      </c>
      <c r="D543">
        <v>14.8</v>
      </c>
      <c r="E543">
        <f t="shared" si="18"/>
        <v>14.8</v>
      </c>
      <c r="F543" t="s">
        <v>42</v>
      </c>
      <c r="G543" t="s">
        <v>42</v>
      </c>
      <c r="H543" t="s">
        <v>42</v>
      </c>
      <c r="I543" t="s">
        <v>42</v>
      </c>
      <c r="J543" t="s">
        <v>42</v>
      </c>
      <c r="K543" t="s">
        <v>42</v>
      </c>
      <c r="L543" t="s">
        <v>42</v>
      </c>
      <c r="M543" t="s">
        <v>122</v>
      </c>
      <c r="N543" t="s">
        <v>122</v>
      </c>
    </row>
    <row r="544" spans="1:14" x14ac:dyDescent="0.25">
      <c r="A544" t="s">
        <v>43</v>
      </c>
      <c r="B544" s="5" t="s">
        <v>45</v>
      </c>
      <c r="C544" t="s">
        <v>121</v>
      </c>
      <c r="D544">
        <v>19.100000000000001</v>
      </c>
      <c r="E544">
        <f t="shared" si="18"/>
        <v>19.100000000000001</v>
      </c>
      <c r="F544" t="s">
        <v>42</v>
      </c>
      <c r="G544" t="s">
        <v>42</v>
      </c>
      <c r="H544" t="s">
        <v>42</v>
      </c>
      <c r="I544" t="s">
        <v>42</v>
      </c>
      <c r="J544" t="s">
        <v>42</v>
      </c>
      <c r="K544" t="s">
        <v>42</v>
      </c>
      <c r="L544" t="s">
        <v>42</v>
      </c>
      <c r="M544" t="s">
        <v>122</v>
      </c>
      <c r="N544" t="s">
        <v>122</v>
      </c>
    </row>
    <row r="545" spans="1:14" x14ac:dyDescent="0.25">
      <c r="A545" t="s">
        <v>43</v>
      </c>
      <c r="B545" s="5" t="s">
        <v>45</v>
      </c>
      <c r="C545" t="s">
        <v>121</v>
      </c>
      <c r="D545">
        <v>24.2</v>
      </c>
      <c r="E545">
        <f t="shared" si="18"/>
        <v>24.2</v>
      </c>
      <c r="F545" t="s">
        <v>42</v>
      </c>
      <c r="G545" t="s">
        <v>42</v>
      </c>
      <c r="H545" t="s">
        <v>42</v>
      </c>
      <c r="I545" t="s">
        <v>42</v>
      </c>
      <c r="J545" t="s">
        <v>42</v>
      </c>
      <c r="K545" t="s">
        <v>42</v>
      </c>
      <c r="L545" t="s">
        <v>42</v>
      </c>
      <c r="M545" t="s">
        <v>122</v>
      </c>
      <c r="N545" t="s">
        <v>122</v>
      </c>
    </row>
    <row r="546" spans="1:14" x14ac:dyDescent="0.25">
      <c r="A546" t="s">
        <v>43</v>
      </c>
      <c r="B546" s="5" t="s">
        <v>45</v>
      </c>
      <c r="C546" t="s">
        <v>121</v>
      </c>
      <c r="D546">
        <v>22.8</v>
      </c>
      <c r="E546">
        <f t="shared" si="18"/>
        <v>22.8</v>
      </c>
      <c r="F546" t="s">
        <v>42</v>
      </c>
      <c r="G546" t="s">
        <v>42</v>
      </c>
      <c r="H546" t="s">
        <v>42</v>
      </c>
      <c r="I546" t="s">
        <v>42</v>
      </c>
      <c r="J546" t="s">
        <v>42</v>
      </c>
      <c r="K546" t="s">
        <v>42</v>
      </c>
      <c r="L546" t="s">
        <v>42</v>
      </c>
      <c r="M546" t="s">
        <v>122</v>
      </c>
      <c r="N546" t="s">
        <v>122</v>
      </c>
    </row>
    <row r="547" spans="1:14" x14ac:dyDescent="0.25">
      <c r="A547" t="s">
        <v>43</v>
      </c>
      <c r="B547" s="5" t="s">
        <v>45</v>
      </c>
      <c r="C547" t="s">
        <v>121</v>
      </c>
      <c r="D547">
        <v>24.1</v>
      </c>
      <c r="E547">
        <f t="shared" si="18"/>
        <v>24.1</v>
      </c>
      <c r="F547" t="s">
        <v>42</v>
      </c>
      <c r="G547" t="s">
        <v>42</v>
      </c>
      <c r="H547" t="s">
        <v>42</v>
      </c>
      <c r="I547" t="s">
        <v>42</v>
      </c>
      <c r="J547" t="s">
        <v>42</v>
      </c>
      <c r="K547" t="s">
        <v>42</v>
      </c>
      <c r="L547" t="s">
        <v>42</v>
      </c>
      <c r="M547" t="s">
        <v>122</v>
      </c>
      <c r="N547" t="s">
        <v>122</v>
      </c>
    </row>
    <row r="548" spans="1:14" x14ac:dyDescent="0.25">
      <c r="A548" t="s">
        <v>43</v>
      </c>
      <c r="B548" s="5" t="s">
        <v>45</v>
      </c>
      <c r="C548" t="s">
        <v>123</v>
      </c>
      <c r="D548">
        <v>20.100000000000001</v>
      </c>
      <c r="E548">
        <f t="shared" si="18"/>
        <v>20.100000000000001</v>
      </c>
      <c r="F548" t="s">
        <v>42</v>
      </c>
      <c r="G548" t="s">
        <v>42</v>
      </c>
      <c r="H548" t="s">
        <v>42</v>
      </c>
      <c r="I548" t="s">
        <v>42</v>
      </c>
      <c r="J548" t="s">
        <v>42</v>
      </c>
      <c r="K548" t="s">
        <v>42</v>
      </c>
      <c r="L548" t="s">
        <v>42</v>
      </c>
      <c r="M548" t="s">
        <v>122</v>
      </c>
      <c r="N548" t="s">
        <v>122</v>
      </c>
    </row>
    <row r="549" spans="1:14" x14ac:dyDescent="0.25">
      <c r="A549" t="s">
        <v>43</v>
      </c>
      <c r="B549" s="5" t="s">
        <v>45</v>
      </c>
      <c r="C549" t="s">
        <v>121</v>
      </c>
      <c r="D549">
        <v>25.4</v>
      </c>
      <c r="E549">
        <f t="shared" si="18"/>
        <v>25.4</v>
      </c>
      <c r="F549" t="s">
        <v>42</v>
      </c>
      <c r="G549" t="s">
        <v>42</v>
      </c>
      <c r="H549" t="s">
        <v>42</v>
      </c>
      <c r="I549" t="s">
        <v>42</v>
      </c>
      <c r="J549" t="s">
        <v>42</v>
      </c>
      <c r="K549" t="s">
        <v>42</v>
      </c>
      <c r="L549" t="s">
        <v>42</v>
      </c>
      <c r="M549" t="s">
        <v>122</v>
      </c>
      <c r="N549" t="s">
        <v>122</v>
      </c>
    </row>
    <row r="550" spans="1:14" x14ac:dyDescent="0.25">
      <c r="A550" t="s">
        <v>43</v>
      </c>
      <c r="B550" s="5" t="s">
        <v>45</v>
      </c>
      <c r="C550" t="s">
        <v>121</v>
      </c>
      <c r="D550">
        <v>24.7</v>
      </c>
      <c r="E550">
        <f t="shared" si="18"/>
        <v>24.7</v>
      </c>
      <c r="F550" t="s">
        <v>42</v>
      </c>
      <c r="G550" t="s">
        <v>42</v>
      </c>
      <c r="H550" t="s">
        <v>42</v>
      </c>
      <c r="I550" t="s">
        <v>42</v>
      </c>
      <c r="J550" t="s">
        <v>42</v>
      </c>
      <c r="K550" t="s">
        <v>42</v>
      </c>
      <c r="L550" t="s">
        <v>42</v>
      </c>
      <c r="M550" t="s">
        <v>122</v>
      </c>
      <c r="N550" t="s">
        <v>122</v>
      </c>
    </row>
    <row r="551" spans="1:14" x14ac:dyDescent="0.25">
      <c r="A551" t="s">
        <v>43</v>
      </c>
      <c r="B551" s="5" t="s">
        <v>45</v>
      </c>
      <c r="C551" t="s">
        <v>121</v>
      </c>
      <c r="D551">
        <v>12.6</v>
      </c>
      <c r="E551">
        <f t="shared" si="18"/>
        <v>12.6</v>
      </c>
      <c r="F551" t="s">
        <v>42</v>
      </c>
      <c r="G551" t="s">
        <v>42</v>
      </c>
      <c r="H551" t="s">
        <v>42</v>
      </c>
      <c r="I551" t="s">
        <v>42</v>
      </c>
      <c r="J551" t="s">
        <v>42</v>
      </c>
      <c r="K551" t="s">
        <v>42</v>
      </c>
      <c r="L551" t="s">
        <v>42</v>
      </c>
      <c r="M551" t="s">
        <v>122</v>
      </c>
      <c r="N551" t="s">
        <v>122</v>
      </c>
    </row>
    <row r="552" spans="1:14" x14ac:dyDescent="0.25">
      <c r="A552" t="s">
        <v>43</v>
      </c>
      <c r="B552" s="5" t="s">
        <v>45</v>
      </c>
      <c r="C552" t="s">
        <v>123</v>
      </c>
      <c r="D552">
        <v>12.6</v>
      </c>
      <c r="E552">
        <f t="shared" si="18"/>
        <v>12.6</v>
      </c>
      <c r="F552" t="s">
        <v>42</v>
      </c>
      <c r="G552" t="s">
        <v>42</v>
      </c>
      <c r="H552" t="s">
        <v>42</v>
      </c>
      <c r="I552" t="s">
        <v>42</v>
      </c>
      <c r="J552" t="s">
        <v>42</v>
      </c>
      <c r="K552" t="s">
        <v>42</v>
      </c>
      <c r="L552" t="s">
        <v>42</v>
      </c>
      <c r="M552" t="s">
        <v>122</v>
      </c>
      <c r="N552" t="s">
        <v>122</v>
      </c>
    </row>
    <row r="553" spans="1:14" x14ac:dyDescent="0.25">
      <c r="A553" t="s">
        <v>43</v>
      </c>
      <c r="B553" s="5" t="s">
        <v>45</v>
      </c>
      <c r="C553" t="s">
        <v>123</v>
      </c>
      <c r="D553">
        <v>10.3</v>
      </c>
      <c r="E553">
        <f t="shared" si="18"/>
        <v>10.3</v>
      </c>
      <c r="F553" t="s">
        <v>42</v>
      </c>
      <c r="G553" t="s">
        <v>42</v>
      </c>
      <c r="H553" t="s">
        <v>42</v>
      </c>
      <c r="I553" t="s">
        <v>42</v>
      </c>
      <c r="J553" t="s">
        <v>42</v>
      </c>
      <c r="K553" t="s">
        <v>42</v>
      </c>
      <c r="L553" t="s">
        <v>42</v>
      </c>
      <c r="M553" t="s">
        <v>122</v>
      </c>
      <c r="N553" t="s">
        <v>122</v>
      </c>
    </row>
    <row r="554" spans="1:14" x14ac:dyDescent="0.25">
      <c r="A554" t="s">
        <v>43</v>
      </c>
      <c r="B554" s="5" t="s">
        <v>45</v>
      </c>
      <c r="C554" t="s">
        <v>121</v>
      </c>
      <c r="D554">
        <v>25.6</v>
      </c>
      <c r="E554">
        <f t="shared" si="18"/>
        <v>25.6</v>
      </c>
      <c r="F554" t="s">
        <v>42</v>
      </c>
      <c r="G554" t="s">
        <v>42</v>
      </c>
      <c r="H554" t="s">
        <v>42</v>
      </c>
      <c r="I554" t="s">
        <v>42</v>
      </c>
      <c r="J554" t="s">
        <v>42</v>
      </c>
      <c r="K554" t="s">
        <v>42</v>
      </c>
      <c r="L554" t="s">
        <v>42</v>
      </c>
      <c r="M554" t="s">
        <v>122</v>
      </c>
      <c r="N554" t="s">
        <v>122</v>
      </c>
    </row>
    <row r="555" spans="1:14" x14ac:dyDescent="0.25">
      <c r="A555" t="s">
        <v>43</v>
      </c>
      <c r="B555" s="5" t="s">
        <v>45</v>
      </c>
      <c r="C555" t="s">
        <v>121</v>
      </c>
      <c r="D555">
        <v>18.8</v>
      </c>
      <c r="E555">
        <f t="shared" si="18"/>
        <v>18.8</v>
      </c>
      <c r="F555" t="s">
        <v>42</v>
      </c>
      <c r="G555" t="s">
        <v>42</v>
      </c>
      <c r="H555" t="s">
        <v>42</v>
      </c>
      <c r="I555" t="s">
        <v>42</v>
      </c>
      <c r="J555" t="s">
        <v>42</v>
      </c>
      <c r="K555" t="s">
        <v>42</v>
      </c>
      <c r="L555" t="s">
        <v>42</v>
      </c>
      <c r="M555" t="s">
        <v>122</v>
      </c>
      <c r="N555" t="s">
        <v>122</v>
      </c>
    </row>
    <row r="556" spans="1:14" x14ac:dyDescent="0.25">
      <c r="A556" t="s">
        <v>43</v>
      </c>
      <c r="B556" s="5" t="s">
        <v>45</v>
      </c>
      <c r="C556" t="s">
        <v>123</v>
      </c>
      <c r="D556">
        <v>9.5</v>
      </c>
      <c r="E556">
        <f t="shared" si="18"/>
        <v>9.5</v>
      </c>
      <c r="F556" t="s">
        <v>42</v>
      </c>
      <c r="G556" t="s">
        <v>42</v>
      </c>
      <c r="H556" t="s">
        <v>42</v>
      </c>
      <c r="I556" t="s">
        <v>42</v>
      </c>
      <c r="J556" t="s">
        <v>42</v>
      </c>
      <c r="K556" t="s">
        <v>42</v>
      </c>
      <c r="L556" t="s">
        <v>42</v>
      </c>
      <c r="M556" t="s">
        <v>122</v>
      </c>
      <c r="N556" t="s">
        <v>122</v>
      </c>
    </row>
    <row r="557" spans="1:14" x14ac:dyDescent="0.25">
      <c r="A557" t="s">
        <v>43</v>
      </c>
      <c r="B557" s="5" t="s">
        <v>45</v>
      </c>
      <c r="C557" t="s">
        <v>121</v>
      </c>
      <c r="D557">
        <v>10</v>
      </c>
      <c r="E557">
        <f t="shared" si="18"/>
        <v>10</v>
      </c>
      <c r="F557" t="s">
        <v>42</v>
      </c>
      <c r="G557" t="s">
        <v>42</v>
      </c>
      <c r="H557" t="s">
        <v>42</v>
      </c>
      <c r="I557" t="s">
        <v>42</v>
      </c>
      <c r="J557" t="s">
        <v>42</v>
      </c>
      <c r="K557" t="s">
        <v>42</v>
      </c>
      <c r="L557" t="s">
        <v>42</v>
      </c>
      <c r="M557" t="s">
        <v>122</v>
      </c>
      <c r="N557" t="s">
        <v>122</v>
      </c>
    </row>
    <row r="558" spans="1:14" x14ac:dyDescent="0.25">
      <c r="A558" t="s">
        <v>43</v>
      </c>
      <c r="B558" s="5" t="s">
        <v>45</v>
      </c>
      <c r="C558" t="s">
        <v>121</v>
      </c>
      <c r="D558">
        <v>18.8</v>
      </c>
      <c r="E558">
        <f t="shared" si="18"/>
        <v>18.8</v>
      </c>
      <c r="F558" t="s">
        <v>42</v>
      </c>
      <c r="G558" t="s">
        <v>42</v>
      </c>
      <c r="H558" t="s">
        <v>42</v>
      </c>
      <c r="I558" t="s">
        <v>42</v>
      </c>
      <c r="J558" t="s">
        <v>42</v>
      </c>
      <c r="K558" t="s">
        <v>42</v>
      </c>
      <c r="L558" t="s">
        <v>42</v>
      </c>
      <c r="M558" t="s">
        <v>122</v>
      </c>
      <c r="N558" t="s">
        <v>122</v>
      </c>
    </row>
    <row r="559" spans="1:14" x14ac:dyDescent="0.25">
      <c r="A559" t="s">
        <v>43</v>
      </c>
      <c r="B559" s="5" t="s">
        <v>45</v>
      </c>
      <c r="C559" t="s">
        <v>121</v>
      </c>
      <c r="D559">
        <v>33.5</v>
      </c>
      <c r="E559">
        <f t="shared" si="18"/>
        <v>33.5</v>
      </c>
      <c r="F559" t="s">
        <v>42</v>
      </c>
      <c r="G559" t="s">
        <v>42</v>
      </c>
      <c r="H559" t="s">
        <v>42</v>
      </c>
      <c r="I559" t="s">
        <v>42</v>
      </c>
      <c r="J559" t="s">
        <v>42</v>
      </c>
      <c r="K559" t="s">
        <v>42</v>
      </c>
      <c r="L559" t="s">
        <v>42</v>
      </c>
      <c r="M559" t="s">
        <v>122</v>
      </c>
      <c r="N559" t="s">
        <v>122</v>
      </c>
    </row>
    <row r="560" spans="1:14" x14ac:dyDescent="0.25">
      <c r="A560" t="s">
        <v>43</v>
      </c>
      <c r="B560" s="5" t="s">
        <v>45</v>
      </c>
      <c r="C560" t="s">
        <v>123</v>
      </c>
      <c r="D560">
        <v>11.5</v>
      </c>
      <c r="E560">
        <f t="shared" si="18"/>
        <v>11.5</v>
      </c>
      <c r="F560" t="s">
        <v>42</v>
      </c>
      <c r="G560" t="s">
        <v>42</v>
      </c>
      <c r="H560" t="s">
        <v>42</v>
      </c>
      <c r="I560" t="s">
        <v>42</v>
      </c>
      <c r="J560" t="s">
        <v>42</v>
      </c>
      <c r="K560" t="s">
        <v>42</v>
      </c>
      <c r="L560" t="s">
        <v>42</v>
      </c>
      <c r="M560" t="s">
        <v>122</v>
      </c>
      <c r="N560" t="s">
        <v>122</v>
      </c>
    </row>
    <row r="561" spans="1:14" x14ac:dyDescent="0.25">
      <c r="A561" t="s">
        <v>43</v>
      </c>
      <c r="B561" s="5" t="s">
        <v>45</v>
      </c>
      <c r="C561" t="s">
        <v>123</v>
      </c>
      <c r="D561">
        <v>12.4</v>
      </c>
      <c r="E561">
        <f t="shared" si="18"/>
        <v>12.4</v>
      </c>
      <c r="F561" t="s">
        <v>42</v>
      </c>
      <c r="G561" t="s">
        <v>42</v>
      </c>
      <c r="H561" t="s">
        <v>42</v>
      </c>
      <c r="I561" t="s">
        <v>42</v>
      </c>
      <c r="J561" t="s">
        <v>42</v>
      </c>
      <c r="K561" t="s">
        <v>42</v>
      </c>
      <c r="L561" t="s">
        <v>42</v>
      </c>
      <c r="M561" t="s">
        <v>122</v>
      </c>
      <c r="N561" t="s">
        <v>122</v>
      </c>
    </row>
    <row r="562" spans="1:14" x14ac:dyDescent="0.25">
      <c r="A562" t="s">
        <v>43</v>
      </c>
      <c r="B562" s="5" t="s">
        <v>45</v>
      </c>
      <c r="C562" t="s">
        <v>123</v>
      </c>
      <c r="D562">
        <v>13.3</v>
      </c>
      <c r="E562">
        <f t="shared" si="18"/>
        <v>13.3</v>
      </c>
      <c r="F562" t="s">
        <v>42</v>
      </c>
      <c r="G562" t="s">
        <v>42</v>
      </c>
      <c r="H562" t="s">
        <v>42</v>
      </c>
      <c r="I562" t="s">
        <v>42</v>
      </c>
      <c r="J562" t="s">
        <v>42</v>
      </c>
      <c r="K562" t="s">
        <v>42</v>
      </c>
      <c r="L562" t="s">
        <v>42</v>
      </c>
      <c r="M562" t="s">
        <v>122</v>
      </c>
      <c r="N562" t="s">
        <v>122</v>
      </c>
    </row>
    <row r="563" spans="1:14" x14ac:dyDescent="0.25">
      <c r="A563" t="s">
        <v>43</v>
      </c>
      <c r="B563" s="5" t="s">
        <v>45</v>
      </c>
      <c r="C563" t="s">
        <v>121</v>
      </c>
      <c r="D563">
        <v>12.8</v>
      </c>
      <c r="E563">
        <f t="shared" si="18"/>
        <v>12.8</v>
      </c>
      <c r="F563" t="s">
        <v>42</v>
      </c>
      <c r="G563" t="s">
        <v>42</v>
      </c>
      <c r="H563" t="s">
        <v>42</v>
      </c>
      <c r="I563" t="s">
        <v>42</v>
      </c>
      <c r="J563" t="s">
        <v>42</v>
      </c>
      <c r="K563" t="s">
        <v>42</v>
      </c>
      <c r="L563" t="s">
        <v>42</v>
      </c>
      <c r="M563" t="s">
        <v>122</v>
      </c>
      <c r="N563" t="s">
        <v>122</v>
      </c>
    </row>
    <row r="564" spans="1:14" x14ac:dyDescent="0.25">
      <c r="A564" t="s">
        <v>43</v>
      </c>
      <c r="B564" s="5" t="s">
        <v>45</v>
      </c>
      <c r="C564" t="s">
        <v>123</v>
      </c>
      <c r="D564">
        <v>14</v>
      </c>
      <c r="E564">
        <f t="shared" si="18"/>
        <v>14</v>
      </c>
      <c r="F564" t="s">
        <v>42</v>
      </c>
      <c r="G564" t="s">
        <v>42</v>
      </c>
      <c r="H564" t="s">
        <v>42</v>
      </c>
      <c r="I564" t="s">
        <v>42</v>
      </c>
      <c r="J564" t="s">
        <v>42</v>
      </c>
      <c r="K564" t="s">
        <v>42</v>
      </c>
      <c r="L564" t="s">
        <v>42</v>
      </c>
      <c r="M564" t="s">
        <v>122</v>
      </c>
      <c r="N564" t="s">
        <v>122</v>
      </c>
    </row>
    <row r="565" spans="1:14" x14ac:dyDescent="0.25">
      <c r="A565" t="s">
        <v>43</v>
      </c>
      <c r="B565" s="5" t="s">
        <v>45</v>
      </c>
      <c r="C565" t="s">
        <v>123</v>
      </c>
      <c r="D565">
        <v>14.2</v>
      </c>
      <c r="E565">
        <f t="shared" si="18"/>
        <v>14.2</v>
      </c>
      <c r="F565" t="s">
        <v>42</v>
      </c>
      <c r="G565" t="s">
        <v>42</v>
      </c>
      <c r="H565" t="s">
        <v>42</v>
      </c>
      <c r="I565" t="s">
        <v>42</v>
      </c>
      <c r="J565" t="s">
        <v>42</v>
      </c>
      <c r="K565" t="s">
        <v>42</v>
      </c>
      <c r="L565" t="s">
        <v>42</v>
      </c>
      <c r="M565" t="s">
        <v>122</v>
      </c>
      <c r="N565" t="s">
        <v>122</v>
      </c>
    </row>
    <row r="566" spans="1:14" x14ac:dyDescent="0.25">
      <c r="A566" t="s">
        <v>43</v>
      </c>
      <c r="B566" s="5" t="s">
        <v>45</v>
      </c>
      <c r="C566" t="s">
        <v>121</v>
      </c>
      <c r="D566">
        <v>24.2</v>
      </c>
      <c r="E566">
        <f t="shared" si="18"/>
        <v>24.2</v>
      </c>
      <c r="F566" t="s">
        <v>42</v>
      </c>
      <c r="G566" t="s">
        <v>42</v>
      </c>
      <c r="H566" t="s">
        <v>42</v>
      </c>
      <c r="I566" t="s">
        <v>42</v>
      </c>
      <c r="J566" t="s">
        <v>42</v>
      </c>
      <c r="K566" t="s">
        <v>42</v>
      </c>
      <c r="L566" t="s">
        <v>42</v>
      </c>
      <c r="M566" t="s">
        <v>122</v>
      </c>
      <c r="N566" t="s">
        <v>122</v>
      </c>
    </row>
    <row r="567" spans="1:14" x14ac:dyDescent="0.25">
      <c r="A567" t="s">
        <v>43</v>
      </c>
      <c r="B567" s="5" t="s">
        <v>45</v>
      </c>
      <c r="C567" t="s">
        <v>121</v>
      </c>
      <c r="D567">
        <v>24.2</v>
      </c>
      <c r="E567">
        <f t="shared" si="18"/>
        <v>24.2</v>
      </c>
      <c r="F567" t="s">
        <v>42</v>
      </c>
      <c r="G567" t="s">
        <v>42</v>
      </c>
      <c r="H567" t="s">
        <v>42</v>
      </c>
      <c r="I567" t="s">
        <v>42</v>
      </c>
      <c r="J567" t="s">
        <v>42</v>
      </c>
      <c r="K567" t="s">
        <v>42</v>
      </c>
      <c r="L567" t="s">
        <v>42</v>
      </c>
      <c r="M567" t="s">
        <v>122</v>
      </c>
      <c r="N567" t="s">
        <v>122</v>
      </c>
    </row>
    <row r="568" spans="1:14" x14ac:dyDescent="0.25">
      <c r="A568" t="s">
        <v>43</v>
      </c>
      <c r="B568" s="5" t="s">
        <v>45</v>
      </c>
      <c r="C568" t="s">
        <v>123</v>
      </c>
      <c r="D568">
        <v>10.199999999999999</v>
      </c>
      <c r="E568">
        <f t="shared" si="18"/>
        <v>10.199999999999999</v>
      </c>
      <c r="F568" t="s">
        <v>42</v>
      </c>
      <c r="G568" t="s">
        <v>42</v>
      </c>
      <c r="H568" t="s">
        <v>42</v>
      </c>
      <c r="I568" t="s">
        <v>42</v>
      </c>
      <c r="J568" t="s">
        <v>42</v>
      </c>
      <c r="K568" t="s">
        <v>42</v>
      </c>
      <c r="L568" t="s">
        <v>42</v>
      </c>
      <c r="M568" t="s">
        <v>122</v>
      </c>
      <c r="N568" t="s">
        <v>122</v>
      </c>
    </row>
    <row r="569" spans="1:14" x14ac:dyDescent="0.25">
      <c r="A569" t="s">
        <v>43</v>
      </c>
      <c r="B569" s="5" t="s">
        <v>45</v>
      </c>
      <c r="C569" t="s">
        <v>121</v>
      </c>
      <c r="D569">
        <v>23</v>
      </c>
      <c r="E569">
        <f t="shared" si="18"/>
        <v>23</v>
      </c>
      <c r="F569" t="s">
        <v>42</v>
      </c>
      <c r="G569" t="s">
        <v>42</v>
      </c>
      <c r="H569" t="s">
        <v>42</v>
      </c>
      <c r="I569" t="s">
        <v>42</v>
      </c>
      <c r="J569" t="s">
        <v>42</v>
      </c>
      <c r="K569" t="s">
        <v>42</v>
      </c>
      <c r="L569" t="s">
        <v>42</v>
      </c>
      <c r="M569" t="s">
        <v>122</v>
      </c>
      <c r="N569" t="s">
        <v>122</v>
      </c>
    </row>
    <row r="570" spans="1:14" x14ac:dyDescent="0.25">
      <c r="A570" t="s">
        <v>43</v>
      </c>
      <c r="B570" s="5" t="s">
        <v>45</v>
      </c>
      <c r="C570" t="s">
        <v>121</v>
      </c>
      <c r="D570">
        <v>9.1999999999999993</v>
      </c>
      <c r="E570">
        <f t="shared" si="18"/>
        <v>9.1999999999999993</v>
      </c>
      <c r="F570" t="s">
        <v>42</v>
      </c>
      <c r="G570" t="s">
        <v>42</v>
      </c>
      <c r="H570" t="s">
        <v>42</v>
      </c>
      <c r="I570" t="s">
        <v>42</v>
      </c>
      <c r="J570" t="s">
        <v>42</v>
      </c>
      <c r="K570" t="s">
        <v>42</v>
      </c>
      <c r="L570" t="s">
        <v>42</v>
      </c>
      <c r="M570" t="s">
        <v>122</v>
      </c>
      <c r="N570" t="s">
        <v>122</v>
      </c>
    </row>
    <row r="571" spans="1:14" x14ac:dyDescent="0.25">
      <c r="A571" t="s">
        <v>43</v>
      </c>
      <c r="B571" s="5" t="s">
        <v>45</v>
      </c>
      <c r="C571" t="s">
        <v>121</v>
      </c>
      <c r="D571">
        <v>12.9</v>
      </c>
      <c r="E571">
        <f t="shared" si="18"/>
        <v>12.9</v>
      </c>
      <c r="F571" t="s">
        <v>42</v>
      </c>
      <c r="G571" t="s">
        <v>42</v>
      </c>
      <c r="H571" t="s">
        <v>42</v>
      </c>
      <c r="I571" t="s">
        <v>42</v>
      </c>
      <c r="J571" t="s">
        <v>42</v>
      </c>
      <c r="K571" t="s">
        <v>42</v>
      </c>
      <c r="L571" t="s">
        <v>42</v>
      </c>
      <c r="M571" t="s">
        <v>122</v>
      </c>
      <c r="N571" t="s">
        <v>122</v>
      </c>
    </row>
    <row r="572" spans="1:14" x14ac:dyDescent="0.25">
      <c r="A572" t="s">
        <v>43</v>
      </c>
      <c r="B572" s="5" t="s">
        <v>45</v>
      </c>
      <c r="C572" t="s">
        <v>121</v>
      </c>
      <c r="D572">
        <v>20</v>
      </c>
      <c r="E572">
        <f t="shared" si="18"/>
        <v>20</v>
      </c>
      <c r="F572" t="s">
        <v>42</v>
      </c>
      <c r="G572" t="s">
        <v>42</v>
      </c>
      <c r="H572" t="s">
        <v>42</v>
      </c>
      <c r="I572" t="s">
        <v>42</v>
      </c>
      <c r="J572" t="s">
        <v>42</v>
      </c>
      <c r="K572" t="s">
        <v>42</v>
      </c>
      <c r="L572" t="s">
        <v>42</v>
      </c>
      <c r="M572" t="s">
        <v>122</v>
      </c>
      <c r="N572" t="s">
        <v>122</v>
      </c>
    </row>
    <row r="573" spans="1:14" x14ac:dyDescent="0.25">
      <c r="A573" t="s">
        <v>43</v>
      </c>
      <c r="B573" s="5" t="s">
        <v>45</v>
      </c>
      <c r="C573" t="s">
        <v>121</v>
      </c>
      <c r="D573">
        <v>26.4</v>
      </c>
      <c r="E573">
        <f t="shared" si="18"/>
        <v>26.4</v>
      </c>
      <c r="F573" t="s">
        <v>42</v>
      </c>
      <c r="G573" t="s">
        <v>42</v>
      </c>
      <c r="H573" t="s">
        <v>42</v>
      </c>
      <c r="I573" t="s">
        <v>42</v>
      </c>
      <c r="J573" t="s">
        <v>42</v>
      </c>
      <c r="K573" t="s">
        <v>42</v>
      </c>
      <c r="L573" t="s">
        <v>42</v>
      </c>
      <c r="M573" t="s">
        <v>122</v>
      </c>
      <c r="N573" t="s">
        <v>122</v>
      </c>
    </row>
    <row r="574" spans="1:14" x14ac:dyDescent="0.25">
      <c r="A574" t="s">
        <v>43</v>
      </c>
      <c r="B574" s="5" t="s">
        <v>45</v>
      </c>
      <c r="C574" t="s">
        <v>121</v>
      </c>
      <c r="D574">
        <v>27.1</v>
      </c>
      <c r="E574">
        <f t="shared" si="18"/>
        <v>27.1</v>
      </c>
      <c r="F574" t="s">
        <v>42</v>
      </c>
      <c r="G574" t="s">
        <v>42</v>
      </c>
      <c r="H574" t="s">
        <v>42</v>
      </c>
      <c r="I574" t="s">
        <v>42</v>
      </c>
      <c r="J574" t="s">
        <v>42</v>
      </c>
      <c r="K574" t="s">
        <v>42</v>
      </c>
      <c r="L574" t="s">
        <v>42</v>
      </c>
      <c r="M574" t="s">
        <v>122</v>
      </c>
      <c r="N574" t="s">
        <v>122</v>
      </c>
    </row>
    <row r="575" spans="1:14" x14ac:dyDescent="0.25">
      <c r="A575" t="s">
        <v>43</v>
      </c>
      <c r="B575" s="5" t="s">
        <v>45</v>
      </c>
      <c r="C575" t="s">
        <v>121</v>
      </c>
      <c r="D575">
        <v>22.9</v>
      </c>
      <c r="E575">
        <f t="shared" si="18"/>
        <v>22.9</v>
      </c>
      <c r="F575" t="s">
        <v>42</v>
      </c>
      <c r="G575" t="s">
        <v>42</v>
      </c>
      <c r="H575" t="s">
        <v>42</v>
      </c>
      <c r="I575" t="s">
        <v>42</v>
      </c>
      <c r="J575" t="s">
        <v>42</v>
      </c>
      <c r="K575" t="s">
        <v>42</v>
      </c>
      <c r="L575" t="s">
        <v>42</v>
      </c>
      <c r="M575" t="s">
        <v>122</v>
      </c>
      <c r="N575" t="s">
        <v>122</v>
      </c>
    </row>
    <row r="576" spans="1:14" x14ac:dyDescent="0.25">
      <c r="A576" t="s">
        <v>43</v>
      </c>
      <c r="B576" s="5" t="s">
        <v>45</v>
      </c>
      <c r="C576" t="s">
        <v>121</v>
      </c>
      <c r="D576">
        <v>15.5</v>
      </c>
      <c r="E576">
        <f t="shared" si="18"/>
        <v>15.5</v>
      </c>
      <c r="F576" t="s">
        <v>42</v>
      </c>
      <c r="G576" t="s">
        <v>42</v>
      </c>
      <c r="H576" t="s">
        <v>42</v>
      </c>
      <c r="I576" t="s">
        <v>42</v>
      </c>
      <c r="J576" t="s">
        <v>42</v>
      </c>
      <c r="K576" t="s">
        <v>42</v>
      </c>
      <c r="L576" t="s">
        <v>42</v>
      </c>
      <c r="M576" t="s">
        <v>122</v>
      </c>
      <c r="N576" t="s">
        <v>122</v>
      </c>
    </row>
    <row r="577" spans="1:14" x14ac:dyDescent="0.25">
      <c r="A577" t="s">
        <v>43</v>
      </c>
      <c r="B577" s="5" t="s">
        <v>45</v>
      </c>
      <c r="C577" t="s">
        <v>123</v>
      </c>
      <c r="D577">
        <v>9.5</v>
      </c>
      <c r="E577">
        <f t="shared" si="18"/>
        <v>9.5</v>
      </c>
      <c r="F577" t="s">
        <v>42</v>
      </c>
      <c r="G577" t="s">
        <v>42</v>
      </c>
      <c r="H577" t="s">
        <v>42</v>
      </c>
      <c r="I577" t="s">
        <v>42</v>
      </c>
      <c r="J577" t="s">
        <v>42</v>
      </c>
      <c r="K577" t="s">
        <v>42</v>
      </c>
      <c r="L577" t="s">
        <v>42</v>
      </c>
      <c r="M577" t="s">
        <v>122</v>
      </c>
      <c r="N577" t="s">
        <v>122</v>
      </c>
    </row>
    <row r="578" spans="1:14" x14ac:dyDescent="0.25">
      <c r="A578" t="s">
        <v>43</v>
      </c>
      <c r="B578" s="5" t="s">
        <v>45</v>
      </c>
      <c r="C578" t="s">
        <v>121</v>
      </c>
      <c r="D578">
        <v>26.6</v>
      </c>
      <c r="E578">
        <f t="shared" si="18"/>
        <v>26.6</v>
      </c>
      <c r="F578" t="s">
        <v>42</v>
      </c>
      <c r="G578" t="s">
        <v>42</v>
      </c>
      <c r="H578" t="s">
        <v>42</v>
      </c>
      <c r="I578" t="s">
        <v>42</v>
      </c>
      <c r="J578" t="s">
        <v>42</v>
      </c>
      <c r="K578" t="s">
        <v>42</v>
      </c>
      <c r="L578" t="s">
        <v>42</v>
      </c>
      <c r="M578" t="s">
        <v>122</v>
      </c>
      <c r="N578" t="s">
        <v>122</v>
      </c>
    </row>
    <row r="579" spans="1:14" x14ac:dyDescent="0.25">
      <c r="A579" t="s">
        <v>43</v>
      </c>
      <c r="B579" s="5" t="s">
        <v>45</v>
      </c>
      <c r="C579" t="s">
        <v>123</v>
      </c>
      <c r="D579">
        <v>11.5</v>
      </c>
      <c r="E579">
        <f t="shared" si="18"/>
        <v>11.5</v>
      </c>
      <c r="F579" t="s">
        <v>42</v>
      </c>
      <c r="G579" t="s">
        <v>42</v>
      </c>
      <c r="H579" t="s">
        <v>42</v>
      </c>
      <c r="I579" t="s">
        <v>42</v>
      </c>
      <c r="J579" t="s">
        <v>42</v>
      </c>
      <c r="K579" t="s">
        <v>42</v>
      </c>
      <c r="L579" t="s">
        <v>42</v>
      </c>
      <c r="M579" t="s">
        <v>122</v>
      </c>
      <c r="N579" t="s">
        <v>122</v>
      </c>
    </row>
    <row r="580" spans="1:14" x14ac:dyDescent="0.25">
      <c r="A580" t="s">
        <v>43</v>
      </c>
      <c r="B580" s="5" t="s">
        <v>45</v>
      </c>
      <c r="C580" t="s">
        <v>123</v>
      </c>
      <c r="D580">
        <v>15.5</v>
      </c>
      <c r="E580">
        <f t="shared" si="18"/>
        <v>15.5</v>
      </c>
      <c r="F580" t="s">
        <v>42</v>
      </c>
      <c r="G580" t="s">
        <v>42</v>
      </c>
      <c r="H580" t="s">
        <v>42</v>
      </c>
      <c r="I580" t="s">
        <v>42</v>
      </c>
      <c r="J580" t="s">
        <v>42</v>
      </c>
      <c r="K580" t="s">
        <v>42</v>
      </c>
      <c r="L580" t="s">
        <v>42</v>
      </c>
      <c r="M580" t="s">
        <v>122</v>
      </c>
      <c r="N580" t="s">
        <v>122</v>
      </c>
    </row>
    <row r="581" spans="1:14" x14ac:dyDescent="0.25">
      <c r="A581" t="s">
        <v>43</v>
      </c>
      <c r="B581" s="5" t="s">
        <v>45</v>
      </c>
      <c r="C581" t="s">
        <v>121</v>
      </c>
      <c r="D581">
        <v>14.8</v>
      </c>
      <c r="E581">
        <f t="shared" si="18"/>
        <v>14.8</v>
      </c>
      <c r="F581" t="s">
        <v>42</v>
      </c>
      <c r="G581" t="s">
        <v>42</v>
      </c>
      <c r="H581" t="s">
        <v>42</v>
      </c>
      <c r="I581" t="s">
        <v>42</v>
      </c>
      <c r="J581" t="s">
        <v>42</v>
      </c>
      <c r="K581" t="s">
        <v>42</v>
      </c>
      <c r="L581" t="s">
        <v>42</v>
      </c>
      <c r="M581" t="s">
        <v>122</v>
      </c>
      <c r="N581" t="s">
        <v>122</v>
      </c>
    </row>
    <row r="582" spans="1:14" x14ac:dyDescent="0.25">
      <c r="A582" t="s">
        <v>43</v>
      </c>
      <c r="B582" s="5" t="s">
        <v>45</v>
      </c>
      <c r="C582" t="s">
        <v>121</v>
      </c>
      <c r="D582">
        <v>14.9</v>
      </c>
      <c r="E582">
        <f t="shared" si="18"/>
        <v>14.9</v>
      </c>
      <c r="F582" t="s">
        <v>42</v>
      </c>
      <c r="G582" t="s">
        <v>42</v>
      </c>
      <c r="H582" t="s">
        <v>42</v>
      </c>
      <c r="I582" t="s">
        <v>42</v>
      </c>
      <c r="J582" t="s">
        <v>42</v>
      </c>
      <c r="K582" t="s">
        <v>42</v>
      </c>
      <c r="L582" t="s">
        <v>42</v>
      </c>
      <c r="M582" t="s">
        <v>122</v>
      </c>
      <c r="N582" t="s">
        <v>122</v>
      </c>
    </row>
    <row r="583" spans="1:14" x14ac:dyDescent="0.25">
      <c r="A583" t="s">
        <v>43</v>
      </c>
      <c r="B583" s="5" t="s">
        <v>45</v>
      </c>
      <c r="C583" t="s">
        <v>121</v>
      </c>
      <c r="D583">
        <v>11.4</v>
      </c>
      <c r="E583">
        <f t="shared" ref="E583:E646" si="19">D583</f>
        <v>11.4</v>
      </c>
      <c r="F583" t="s">
        <v>42</v>
      </c>
      <c r="G583" t="s">
        <v>42</v>
      </c>
      <c r="H583" t="s">
        <v>42</v>
      </c>
      <c r="I583" t="s">
        <v>42</v>
      </c>
      <c r="J583" t="s">
        <v>42</v>
      </c>
      <c r="K583" t="s">
        <v>42</v>
      </c>
      <c r="L583" t="s">
        <v>42</v>
      </c>
      <c r="M583" t="s">
        <v>122</v>
      </c>
      <c r="N583" t="s">
        <v>122</v>
      </c>
    </row>
    <row r="584" spans="1:14" x14ac:dyDescent="0.25">
      <c r="A584" t="s">
        <v>43</v>
      </c>
      <c r="B584" s="5" t="s">
        <v>45</v>
      </c>
      <c r="C584" t="s">
        <v>121</v>
      </c>
      <c r="D584">
        <v>18.899999999999999</v>
      </c>
      <c r="E584">
        <f t="shared" si="19"/>
        <v>18.899999999999999</v>
      </c>
      <c r="F584" t="s">
        <v>42</v>
      </c>
      <c r="G584" t="s">
        <v>42</v>
      </c>
      <c r="H584" t="s">
        <v>42</v>
      </c>
      <c r="I584" t="s">
        <v>42</v>
      </c>
      <c r="J584" t="s">
        <v>42</v>
      </c>
      <c r="K584" t="s">
        <v>42</v>
      </c>
      <c r="L584" t="s">
        <v>42</v>
      </c>
      <c r="M584" t="s">
        <v>122</v>
      </c>
      <c r="N584" t="s">
        <v>122</v>
      </c>
    </row>
    <row r="585" spans="1:14" x14ac:dyDescent="0.25">
      <c r="A585" t="s">
        <v>43</v>
      </c>
      <c r="B585" s="5" t="s">
        <v>45</v>
      </c>
      <c r="C585" t="s">
        <v>123</v>
      </c>
      <c r="D585">
        <v>10.5</v>
      </c>
      <c r="E585">
        <f t="shared" si="19"/>
        <v>10.5</v>
      </c>
      <c r="F585" t="s">
        <v>42</v>
      </c>
      <c r="G585" t="s">
        <v>42</v>
      </c>
      <c r="H585" t="s">
        <v>42</v>
      </c>
      <c r="I585" t="s">
        <v>42</v>
      </c>
      <c r="J585" t="s">
        <v>42</v>
      </c>
      <c r="K585" t="s">
        <v>42</v>
      </c>
      <c r="L585" t="s">
        <v>42</v>
      </c>
      <c r="M585" t="s">
        <v>122</v>
      </c>
      <c r="N585" t="s">
        <v>122</v>
      </c>
    </row>
    <row r="586" spans="1:14" x14ac:dyDescent="0.25">
      <c r="A586" t="s">
        <v>43</v>
      </c>
      <c r="B586" s="5" t="s">
        <v>45</v>
      </c>
      <c r="C586" t="s">
        <v>123</v>
      </c>
      <c r="D586">
        <v>9.1</v>
      </c>
      <c r="E586">
        <f t="shared" si="19"/>
        <v>9.1</v>
      </c>
      <c r="F586" t="s">
        <v>42</v>
      </c>
      <c r="G586" t="s">
        <v>42</v>
      </c>
      <c r="H586" t="s">
        <v>42</v>
      </c>
      <c r="I586" t="s">
        <v>42</v>
      </c>
      <c r="J586" t="s">
        <v>42</v>
      </c>
      <c r="K586" t="s">
        <v>42</v>
      </c>
      <c r="L586" t="s">
        <v>42</v>
      </c>
      <c r="M586" t="s">
        <v>122</v>
      </c>
      <c r="N586" t="s">
        <v>122</v>
      </c>
    </row>
    <row r="587" spans="1:14" x14ac:dyDescent="0.25">
      <c r="A587" t="s">
        <v>43</v>
      </c>
      <c r="B587" s="5" t="s">
        <v>45</v>
      </c>
      <c r="C587" t="s">
        <v>123</v>
      </c>
      <c r="D587">
        <v>8.8000000000000007</v>
      </c>
      <c r="E587">
        <f t="shared" si="19"/>
        <v>8.8000000000000007</v>
      </c>
      <c r="F587" t="s">
        <v>42</v>
      </c>
      <c r="G587" t="s">
        <v>42</v>
      </c>
      <c r="H587" t="s">
        <v>42</v>
      </c>
      <c r="I587" t="s">
        <v>42</v>
      </c>
      <c r="J587" t="s">
        <v>42</v>
      </c>
      <c r="K587" t="s">
        <v>42</v>
      </c>
      <c r="L587" t="s">
        <v>42</v>
      </c>
      <c r="M587" t="s">
        <v>122</v>
      </c>
      <c r="N587" t="s">
        <v>122</v>
      </c>
    </row>
    <row r="588" spans="1:14" x14ac:dyDescent="0.25">
      <c r="A588" t="s">
        <v>43</v>
      </c>
      <c r="B588" s="5" t="s">
        <v>45</v>
      </c>
      <c r="C588" t="s">
        <v>121</v>
      </c>
      <c r="D588">
        <v>16.3</v>
      </c>
      <c r="E588">
        <f t="shared" si="19"/>
        <v>16.3</v>
      </c>
      <c r="F588" t="s">
        <v>42</v>
      </c>
      <c r="G588" t="s">
        <v>42</v>
      </c>
      <c r="H588" t="s">
        <v>42</v>
      </c>
      <c r="I588" t="s">
        <v>42</v>
      </c>
      <c r="J588" t="s">
        <v>42</v>
      </c>
      <c r="K588" t="s">
        <v>42</v>
      </c>
      <c r="L588" t="s">
        <v>42</v>
      </c>
      <c r="M588" t="s">
        <v>122</v>
      </c>
      <c r="N588" t="s">
        <v>122</v>
      </c>
    </row>
    <row r="589" spans="1:14" x14ac:dyDescent="0.25">
      <c r="A589" t="s">
        <v>43</v>
      </c>
      <c r="B589" s="5" t="s">
        <v>45</v>
      </c>
      <c r="C589" t="s">
        <v>121</v>
      </c>
      <c r="D589">
        <v>23.2</v>
      </c>
      <c r="E589">
        <f t="shared" si="19"/>
        <v>23.2</v>
      </c>
      <c r="F589" t="s">
        <v>42</v>
      </c>
      <c r="G589" t="s">
        <v>42</v>
      </c>
      <c r="H589" t="s">
        <v>42</v>
      </c>
      <c r="I589" t="s">
        <v>42</v>
      </c>
      <c r="J589" t="s">
        <v>42</v>
      </c>
      <c r="K589" t="s">
        <v>42</v>
      </c>
      <c r="L589" t="s">
        <v>42</v>
      </c>
      <c r="M589" t="s">
        <v>122</v>
      </c>
      <c r="N589" t="s">
        <v>122</v>
      </c>
    </row>
    <row r="590" spans="1:14" x14ac:dyDescent="0.25">
      <c r="A590" t="s">
        <v>43</v>
      </c>
      <c r="B590" s="5" t="s">
        <v>45</v>
      </c>
      <c r="C590" t="s">
        <v>121</v>
      </c>
      <c r="D590">
        <v>21.8</v>
      </c>
      <c r="E590">
        <f t="shared" si="19"/>
        <v>21.8</v>
      </c>
      <c r="F590" t="s">
        <v>42</v>
      </c>
      <c r="G590" t="s">
        <v>42</v>
      </c>
      <c r="H590" t="s">
        <v>42</v>
      </c>
      <c r="I590" t="s">
        <v>42</v>
      </c>
      <c r="J590" t="s">
        <v>42</v>
      </c>
      <c r="K590" t="s">
        <v>42</v>
      </c>
      <c r="L590" t="s">
        <v>42</v>
      </c>
      <c r="M590" t="s">
        <v>122</v>
      </c>
      <c r="N590" t="s">
        <v>122</v>
      </c>
    </row>
    <row r="591" spans="1:14" x14ac:dyDescent="0.25">
      <c r="A591" t="s">
        <v>48</v>
      </c>
      <c r="B591" s="5" t="s">
        <v>45</v>
      </c>
      <c r="C591" t="s">
        <v>123</v>
      </c>
      <c r="D591">
        <v>9.3000000000000007</v>
      </c>
      <c r="E591">
        <f t="shared" si="19"/>
        <v>9.3000000000000007</v>
      </c>
      <c r="F591" t="s">
        <v>42</v>
      </c>
      <c r="G591" t="s">
        <v>42</v>
      </c>
      <c r="H591" t="s">
        <v>42</v>
      </c>
      <c r="I591" t="s">
        <v>42</v>
      </c>
      <c r="J591" t="s">
        <v>42</v>
      </c>
      <c r="K591" t="s">
        <v>42</v>
      </c>
      <c r="L591" t="s">
        <v>42</v>
      </c>
      <c r="M591" t="s">
        <v>122</v>
      </c>
      <c r="N591" t="s">
        <v>122</v>
      </c>
    </row>
    <row r="592" spans="1:14" x14ac:dyDescent="0.25">
      <c r="A592" t="s">
        <v>48</v>
      </c>
      <c r="B592" s="5" t="s">
        <v>45</v>
      </c>
      <c r="C592" t="s">
        <v>123</v>
      </c>
      <c r="D592">
        <v>16.399999999999999</v>
      </c>
      <c r="E592">
        <f t="shared" si="19"/>
        <v>16.399999999999999</v>
      </c>
      <c r="F592" t="s">
        <v>42</v>
      </c>
      <c r="G592" t="s">
        <v>42</v>
      </c>
      <c r="H592" t="s">
        <v>42</v>
      </c>
      <c r="I592" t="s">
        <v>42</v>
      </c>
      <c r="J592" t="s">
        <v>42</v>
      </c>
      <c r="K592" t="s">
        <v>42</v>
      </c>
      <c r="L592" t="s">
        <v>42</v>
      </c>
      <c r="M592" t="s">
        <v>122</v>
      </c>
      <c r="N592" t="s">
        <v>122</v>
      </c>
    </row>
    <row r="593" spans="1:14" x14ac:dyDescent="0.25">
      <c r="A593" t="s">
        <v>48</v>
      </c>
      <c r="B593" s="5" t="s">
        <v>45</v>
      </c>
      <c r="C593" t="s">
        <v>121</v>
      </c>
      <c r="D593">
        <v>21.3</v>
      </c>
      <c r="E593">
        <f t="shared" si="19"/>
        <v>21.3</v>
      </c>
      <c r="F593" t="s">
        <v>42</v>
      </c>
      <c r="G593" t="s">
        <v>42</v>
      </c>
      <c r="H593" t="s">
        <v>42</v>
      </c>
      <c r="I593" t="s">
        <v>42</v>
      </c>
      <c r="J593" t="s">
        <v>42</v>
      </c>
      <c r="K593" t="s">
        <v>42</v>
      </c>
      <c r="L593" t="s">
        <v>42</v>
      </c>
      <c r="M593" t="s">
        <v>122</v>
      </c>
      <c r="N593" t="s">
        <v>122</v>
      </c>
    </row>
    <row r="594" spans="1:14" x14ac:dyDescent="0.25">
      <c r="A594" t="s">
        <v>48</v>
      </c>
      <c r="B594" s="5" t="s">
        <v>45</v>
      </c>
      <c r="C594" t="s">
        <v>121</v>
      </c>
      <c r="D594">
        <v>18.7</v>
      </c>
      <c r="E594">
        <f t="shared" si="19"/>
        <v>18.7</v>
      </c>
      <c r="F594" t="s">
        <v>42</v>
      </c>
      <c r="G594" t="s">
        <v>42</v>
      </c>
      <c r="H594" t="s">
        <v>42</v>
      </c>
      <c r="I594" t="s">
        <v>42</v>
      </c>
      <c r="J594" t="s">
        <v>42</v>
      </c>
      <c r="K594" t="s">
        <v>42</v>
      </c>
      <c r="L594" t="s">
        <v>42</v>
      </c>
      <c r="M594" t="s">
        <v>122</v>
      </c>
      <c r="N594" t="s">
        <v>122</v>
      </c>
    </row>
    <row r="595" spans="1:14" x14ac:dyDescent="0.25">
      <c r="A595" t="s">
        <v>48</v>
      </c>
      <c r="B595" s="5" t="s">
        <v>45</v>
      </c>
      <c r="C595" t="s">
        <v>123</v>
      </c>
      <c r="D595">
        <v>17.5</v>
      </c>
      <c r="E595">
        <f t="shared" si="19"/>
        <v>17.5</v>
      </c>
      <c r="F595" t="s">
        <v>42</v>
      </c>
      <c r="G595" t="s">
        <v>42</v>
      </c>
      <c r="H595" t="s">
        <v>42</v>
      </c>
      <c r="I595" t="s">
        <v>42</v>
      </c>
      <c r="J595" t="s">
        <v>42</v>
      </c>
      <c r="K595" t="s">
        <v>42</v>
      </c>
      <c r="L595" t="s">
        <v>42</v>
      </c>
      <c r="M595" t="s">
        <v>122</v>
      </c>
      <c r="N595" t="s">
        <v>122</v>
      </c>
    </row>
    <row r="596" spans="1:14" x14ac:dyDescent="0.25">
      <c r="A596" t="s">
        <v>48</v>
      </c>
      <c r="B596" s="5" t="s">
        <v>45</v>
      </c>
      <c r="C596" t="s">
        <v>121</v>
      </c>
      <c r="D596">
        <v>24.1</v>
      </c>
      <c r="E596">
        <f t="shared" si="19"/>
        <v>24.1</v>
      </c>
      <c r="F596" t="s">
        <v>42</v>
      </c>
      <c r="G596" t="s">
        <v>42</v>
      </c>
      <c r="H596" t="s">
        <v>42</v>
      </c>
      <c r="I596" t="s">
        <v>42</v>
      </c>
      <c r="J596" t="s">
        <v>42</v>
      </c>
      <c r="K596" t="s">
        <v>42</v>
      </c>
      <c r="L596" t="s">
        <v>42</v>
      </c>
      <c r="M596" t="s">
        <v>122</v>
      </c>
      <c r="N596" t="s">
        <v>122</v>
      </c>
    </row>
    <row r="597" spans="1:14" x14ac:dyDescent="0.25">
      <c r="A597" t="s">
        <v>48</v>
      </c>
      <c r="B597" s="5" t="s">
        <v>45</v>
      </c>
      <c r="C597" t="s">
        <v>123</v>
      </c>
      <c r="D597">
        <v>13.3</v>
      </c>
      <c r="E597">
        <f t="shared" si="19"/>
        <v>13.3</v>
      </c>
      <c r="F597" t="s">
        <v>42</v>
      </c>
      <c r="G597" t="s">
        <v>42</v>
      </c>
      <c r="H597" t="s">
        <v>42</v>
      </c>
      <c r="I597" t="s">
        <v>42</v>
      </c>
      <c r="J597" t="s">
        <v>42</v>
      </c>
      <c r="K597" t="s">
        <v>42</v>
      </c>
      <c r="L597" t="s">
        <v>42</v>
      </c>
      <c r="M597" t="s">
        <v>122</v>
      </c>
      <c r="N597" t="s">
        <v>122</v>
      </c>
    </row>
    <row r="598" spans="1:14" x14ac:dyDescent="0.25">
      <c r="A598" t="s">
        <v>48</v>
      </c>
      <c r="B598" s="5" t="s">
        <v>45</v>
      </c>
      <c r="C598" t="s">
        <v>121</v>
      </c>
      <c r="D598">
        <v>16.600000000000001</v>
      </c>
      <c r="E598">
        <f t="shared" si="19"/>
        <v>16.600000000000001</v>
      </c>
      <c r="F598" t="s">
        <v>42</v>
      </c>
      <c r="G598" t="s">
        <v>42</v>
      </c>
      <c r="H598" t="s">
        <v>42</v>
      </c>
      <c r="I598" t="s">
        <v>42</v>
      </c>
      <c r="J598" t="s">
        <v>42</v>
      </c>
      <c r="K598" t="s">
        <v>42</v>
      </c>
      <c r="L598" t="s">
        <v>42</v>
      </c>
      <c r="M598" t="s">
        <v>122</v>
      </c>
      <c r="N598" t="s">
        <v>122</v>
      </c>
    </row>
    <row r="599" spans="1:14" x14ac:dyDescent="0.25">
      <c r="A599" t="s">
        <v>48</v>
      </c>
      <c r="B599" s="5" t="s">
        <v>45</v>
      </c>
      <c r="C599" t="s">
        <v>121</v>
      </c>
      <c r="D599">
        <v>11.3</v>
      </c>
      <c r="E599">
        <f t="shared" si="19"/>
        <v>11.3</v>
      </c>
      <c r="F599" t="s">
        <v>42</v>
      </c>
      <c r="G599" t="s">
        <v>42</v>
      </c>
      <c r="H599" t="s">
        <v>42</v>
      </c>
      <c r="I599" t="s">
        <v>42</v>
      </c>
      <c r="J599" t="s">
        <v>42</v>
      </c>
      <c r="K599" t="s">
        <v>42</v>
      </c>
      <c r="L599" t="s">
        <v>42</v>
      </c>
      <c r="M599" t="s">
        <v>122</v>
      </c>
      <c r="N599" t="s">
        <v>122</v>
      </c>
    </row>
    <row r="600" spans="1:14" x14ac:dyDescent="0.25">
      <c r="A600" t="s">
        <v>48</v>
      </c>
      <c r="B600" s="5" t="s">
        <v>45</v>
      </c>
      <c r="C600" t="s">
        <v>121</v>
      </c>
      <c r="D600">
        <v>22.4</v>
      </c>
      <c r="E600">
        <f t="shared" si="19"/>
        <v>22.4</v>
      </c>
      <c r="F600" t="s">
        <v>42</v>
      </c>
      <c r="G600" t="s">
        <v>42</v>
      </c>
      <c r="H600" t="s">
        <v>42</v>
      </c>
      <c r="I600" t="s">
        <v>42</v>
      </c>
      <c r="J600" t="s">
        <v>42</v>
      </c>
      <c r="K600" t="s">
        <v>42</v>
      </c>
      <c r="L600" t="s">
        <v>42</v>
      </c>
      <c r="M600" t="s">
        <v>122</v>
      </c>
      <c r="N600" t="s">
        <v>122</v>
      </c>
    </row>
    <row r="601" spans="1:14" x14ac:dyDescent="0.25">
      <c r="A601" t="s">
        <v>48</v>
      </c>
      <c r="B601" s="5" t="s">
        <v>45</v>
      </c>
      <c r="C601" t="s">
        <v>123</v>
      </c>
      <c r="D601">
        <v>18.600000000000001</v>
      </c>
      <c r="E601">
        <f t="shared" si="19"/>
        <v>18.600000000000001</v>
      </c>
      <c r="F601" t="s">
        <v>42</v>
      </c>
      <c r="G601" t="s">
        <v>42</v>
      </c>
      <c r="H601" t="s">
        <v>42</v>
      </c>
      <c r="I601" t="s">
        <v>42</v>
      </c>
      <c r="J601" t="s">
        <v>42</v>
      </c>
      <c r="K601" t="s">
        <v>42</v>
      </c>
      <c r="L601" t="s">
        <v>42</v>
      </c>
      <c r="M601" t="s">
        <v>122</v>
      </c>
      <c r="N601" t="s">
        <v>122</v>
      </c>
    </row>
    <row r="602" spans="1:14" x14ac:dyDescent="0.25">
      <c r="A602" t="s">
        <v>48</v>
      </c>
      <c r="B602" s="5" t="s">
        <v>45</v>
      </c>
      <c r="C602" t="s">
        <v>121</v>
      </c>
      <c r="D602">
        <v>17.5</v>
      </c>
      <c r="E602">
        <f t="shared" si="19"/>
        <v>17.5</v>
      </c>
      <c r="F602" t="s">
        <v>42</v>
      </c>
      <c r="G602" t="s">
        <v>42</v>
      </c>
      <c r="H602" t="s">
        <v>42</v>
      </c>
      <c r="I602" t="s">
        <v>42</v>
      </c>
      <c r="J602" t="s">
        <v>42</v>
      </c>
      <c r="K602" t="s">
        <v>42</v>
      </c>
      <c r="L602" t="s">
        <v>42</v>
      </c>
      <c r="M602" t="s">
        <v>122</v>
      </c>
      <c r="N602" t="s">
        <v>122</v>
      </c>
    </row>
    <row r="603" spans="1:14" x14ac:dyDescent="0.25">
      <c r="A603" t="s">
        <v>48</v>
      </c>
      <c r="B603" s="5" t="s">
        <v>45</v>
      </c>
      <c r="C603" t="s">
        <v>123</v>
      </c>
      <c r="D603">
        <v>17.600000000000001</v>
      </c>
      <c r="E603">
        <f t="shared" si="19"/>
        <v>17.600000000000001</v>
      </c>
      <c r="F603" t="s">
        <v>42</v>
      </c>
      <c r="G603" t="s">
        <v>42</v>
      </c>
      <c r="H603" t="s">
        <v>42</v>
      </c>
      <c r="I603" t="s">
        <v>42</v>
      </c>
      <c r="J603" t="s">
        <v>42</v>
      </c>
      <c r="K603" t="s">
        <v>42</v>
      </c>
      <c r="L603" t="s">
        <v>42</v>
      </c>
      <c r="M603" t="s">
        <v>122</v>
      </c>
      <c r="N603" t="s">
        <v>122</v>
      </c>
    </row>
    <row r="604" spans="1:14" x14ac:dyDescent="0.25">
      <c r="A604" t="s">
        <v>48</v>
      </c>
      <c r="B604" s="5" t="s">
        <v>45</v>
      </c>
      <c r="C604" t="s">
        <v>123</v>
      </c>
      <c r="D604">
        <v>12.7</v>
      </c>
      <c r="E604">
        <f t="shared" si="19"/>
        <v>12.7</v>
      </c>
      <c r="F604" t="s">
        <v>42</v>
      </c>
      <c r="G604" t="s">
        <v>42</v>
      </c>
      <c r="H604" t="s">
        <v>42</v>
      </c>
      <c r="I604" t="s">
        <v>42</v>
      </c>
      <c r="J604" t="s">
        <v>42</v>
      </c>
      <c r="K604" t="s">
        <v>42</v>
      </c>
      <c r="L604" t="s">
        <v>42</v>
      </c>
      <c r="M604" t="s">
        <v>122</v>
      </c>
      <c r="N604" t="s">
        <v>122</v>
      </c>
    </row>
    <row r="605" spans="1:14" x14ac:dyDescent="0.25">
      <c r="A605" t="s">
        <v>48</v>
      </c>
      <c r="B605" s="5" t="s">
        <v>45</v>
      </c>
      <c r="C605" t="s">
        <v>123</v>
      </c>
      <c r="D605">
        <v>11.9</v>
      </c>
      <c r="E605">
        <f t="shared" si="19"/>
        <v>11.9</v>
      </c>
      <c r="F605" t="s">
        <v>42</v>
      </c>
      <c r="G605" t="s">
        <v>42</v>
      </c>
      <c r="H605" t="s">
        <v>42</v>
      </c>
      <c r="I605" t="s">
        <v>42</v>
      </c>
      <c r="J605" t="s">
        <v>42</v>
      </c>
      <c r="K605" t="s">
        <v>42</v>
      </c>
      <c r="L605" t="s">
        <v>42</v>
      </c>
      <c r="M605" t="s">
        <v>122</v>
      </c>
      <c r="N605" t="s">
        <v>122</v>
      </c>
    </row>
    <row r="606" spans="1:14" x14ac:dyDescent="0.25">
      <c r="A606" t="s">
        <v>48</v>
      </c>
      <c r="B606" s="5" t="s">
        <v>45</v>
      </c>
      <c r="C606" t="s">
        <v>123</v>
      </c>
      <c r="D606">
        <v>9.8000000000000007</v>
      </c>
      <c r="E606">
        <f t="shared" si="19"/>
        <v>9.8000000000000007</v>
      </c>
      <c r="F606" t="s">
        <v>42</v>
      </c>
      <c r="G606" t="s">
        <v>42</v>
      </c>
      <c r="H606" t="s">
        <v>42</v>
      </c>
      <c r="I606" t="s">
        <v>42</v>
      </c>
      <c r="J606" t="s">
        <v>42</v>
      </c>
      <c r="K606" t="s">
        <v>42</v>
      </c>
      <c r="L606" t="s">
        <v>42</v>
      </c>
      <c r="M606" t="s">
        <v>122</v>
      </c>
      <c r="N606" t="s">
        <v>122</v>
      </c>
    </row>
    <row r="607" spans="1:14" x14ac:dyDescent="0.25">
      <c r="A607" t="s">
        <v>48</v>
      </c>
      <c r="B607" s="5" t="s">
        <v>45</v>
      </c>
      <c r="C607" t="s">
        <v>121</v>
      </c>
      <c r="D607">
        <v>21.6</v>
      </c>
      <c r="E607">
        <f t="shared" si="19"/>
        <v>21.6</v>
      </c>
      <c r="F607" t="s">
        <v>42</v>
      </c>
      <c r="G607" t="s">
        <v>42</v>
      </c>
      <c r="H607" t="s">
        <v>42</v>
      </c>
      <c r="I607" t="s">
        <v>42</v>
      </c>
      <c r="J607" t="s">
        <v>42</v>
      </c>
      <c r="K607" t="s">
        <v>42</v>
      </c>
      <c r="L607" t="s">
        <v>42</v>
      </c>
      <c r="M607" t="s">
        <v>122</v>
      </c>
      <c r="N607" t="s">
        <v>122</v>
      </c>
    </row>
    <row r="608" spans="1:14" x14ac:dyDescent="0.25">
      <c r="A608" t="s">
        <v>48</v>
      </c>
      <c r="B608" s="5" t="s">
        <v>45</v>
      </c>
      <c r="C608" t="s">
        <v>121</v>
      </c>
      <c r="D608">
        <v>10.8</v>
      </c>
      <c r="E608">
        <f t="shared" si="19"/>
        <v>10.8</v>
      </c>
      <c r="F608" t="s">
        <v>42</v>
      </c>
      <c r="G608" t="s">
        <v>42</v>
      </c>
      <c r="H608" t="s">
        <v>42</v>
      </c>
      <c r="I608" t="s">
        <v>42</v>
      </c>
      <c r="J608" t="s">
        <v>42</v>
      </c>
      <c r="K608" t="s">
        <v>42</v>
      </c>
      <c r="L608" t="s">
        <v>42</v>
      </c>
      <c r="M608" t="s">
        <v>122</v>
      </c>
      <c r="N608" t="s">
        <v>122</v>
      </c>
    </row>
    <row r="609" spans="1:14" x14ac:dyDescent="0.25">
      <c r="A609" t="s">
        <v>48</v>
      </c>
      <c r="B609" s="5" t="s">
        <v>45</v>
      </c>
      <c r="C609" t="s">
        <v>123</v>
      </c>
      <c r="D609">
        <v>22.8</v>
      </c>
      <c r="E609">
        <f t="shared" si="19"/>
        <v>22.8</v>
      </c>
      <c r="F609" t="s">
        <v>42</v>
      </c>
      <c r="G609" t="s">
        <v>42</v>
      </c>
      <c r="H609" t="s">
        <v>42</v>
      </c>
      <c r="I609" t="s">
        <v>42</v>
      </c>
      <c r="J609" t="s">
        <v>42</v>
      </c>
      <c r="K609" t="s">
        <v>42</v>
      </c>
      <c r="L609" t="s">
        <v>42</v>
      </c>
      <c r="M609" t="s">
        <v>122</v>
      </c>
      <c r="N609" t="s">
        <v>122</v>
      </c>
    </row>
    <row r="610" spans="1:14" x14ac:dyDescent="0.25">
      <c r="A610" t="s">
        <v>48</v>
      </c>
      <c r="B610" s="5" t="s">
        <v>45</v>
      </c>
      <c r="C610" t="s">
        <v>121</v>
      </c>
      <c r="D610">
        <v>24.3</v>
      </c>
      <c r="E610">
        <f t="shared" si="19"/>
        <v>24.3</v>
      </c>
      <c r="F610" t="s">
        <v>42</v>
      </c>
      <c r="G610" t="s">
        <v>42</v>
      </c>
      <c r="H610" t="s">
        <v>42</v>
      </c>
      <c r="I610" t="s">
        <v>42</v>
      </c>
      <c r="J610" t="s">
        <v>42</v>
      </c>
      <c r="K610" t="s">
        <v>42</v>
      </c>
      <c r="L610" t="s">
        <v>42</v>
      </c>
      <c r="M610" t="s">
        <v>122</v>
      </c>
      <c r="N610" t="s">
        <v>122</v>
      </c>
    </row>
    <row r="611" spans="1:14" x14ac:dyDescent="0.25">
      <c r="A611" t="s">
        <v>48</v>
      </c>
      <c r="B611" s="5" t="s">
        <v>45</v>
      </c>
      <c r="C611" t="s">
        <v>121</v>
      </c>
      <c r="D611">
        <v>19</v>
      </c>
      <c r="E611">
        <f t="shared" si="19"/>
        <v>19</v>
      </c>
      <c r="F611" t="s">
        <v>42</v>
      </c>
      <c r="G611" t="s">
        <v>42</v>
      </c>
      <c r="H611" t="s">
        <v>42</v>
      </c>
      <c r="I611" t="s">
        <v>42</v>
      </c>
      <c r="J611" t="s">
        <v>42</v>
      </c>
      <c r="K611" t="s">
        <v>42</v>
      </c>
      <c r="L611" t="s">
        <v>42</v>
      </c>
      <c r="M611" t="s">
        <v>122</v>
      </c>
      <c r="N611" t="s">
        <v>122</v>
      </c>
    </row>
    <row r="612" spans="1:14" x14ac:dyDescent="0.25">
      <c r="A612" t="s">
        <v>48</v>
      </c>
      <c r="B612" s="5" t="s">
        <v>45</v>
      </c>
      <c r="C612" t="s">
        <v>123</v>
      </c>
      <c r="D612">
        <v>14.9</v>
      </c>
      <c r="E612">
        <f t="shared" si="19"/>
        <v>14.9</v>
      </c>
      <c r="F612" t="s">
        <v>42</v>
      </c>
      <c r="G612" t="s">
        <v>42</v>
      </c>
      <c r="H612" t="s">
        <v>42</v>
      </c>
      <c r="I612" t="s">
        <v>42</v>
      </c>
      <c r="J612" t="s">
        <v>42</v>
      </c>
      <c r="K612" t="s">
        <v>42</v>
      </c>
      <c r="L612" t="s">
        <v>42</v>
      </c>
      <c r="M612" t="s">
        <v>122</v>
      </c>
      <c r="N612" t="s">
        <v>122</v>
      </c>
    </row>
    <row r="613" spans="1:14" x14ac:dyDescent="0.25">
      <c r="A613" t="s">
        <v>48</v>
      </c>
      <c r="B613" s="5" t="s">
        <v>45</v>
      </c>
      <c r="C613" t="s">
        <v>121</v>
      </c>
      <c r="D613">
        <v>34.4</v>
      </c>
      <c r="E613">
        <f t="shared" si="19"/>
        <v>34.4</v>
      </c>
      <c r="F613" t="s">
        <v>42</v>
      </c>
      <c r="G613" t="s">
        <v>42</v>
      </c>
      <c r="H613" t="s">
        <v>42</v>
      </c>
      <c r="I613" t="s">
        <v>42</v>
      </c>
      <c r="J613" t="s">
        <v>42</v>
      </c>
      <c r="K613" t="s">
        <v>42</v>
      </c>
      <c r="L613" t="s">
        <v>42</v>
      </c>
      <c r="M613" t="s">
        <v>122</v>
      </c>
      <c r="N613" t="s">
        <v>122</v>
      </c>
    </row>
    <row r="614" spans="1:14" x14ac:dyDescent="0.25">
      <c r="A614" t="s">
        <v>48</v>
      </c>
      <c r="B614" s="5" t="s">
        <v>45</v>
      </c>
      <c r="C614" t="s">
        <v>123</v>
      </c>
      <c r="D614">
        <v>23.2</v>
      </c>
      <c r="E614">
        <f t="shared" si="19"/>
        <v>23.2</v>
      </c>
      <c r="F614" t="s">
        <v>42</v>
      </c>
      <c r="G614" t="s">
        <v>42</v>
      </c>
      <c r="H614" t="s">
        <v>42</v>
      </c>
      <c r="I614" t="s">
        <v>42</v>
      </c>
      <c r="J614" t="s">
        <v>42</v>
      </c>
      <c r="K614" t="s">
        <v>42</v>
      </c>
      <c r="L614" t="s">
        <v>42</v>
      </c>
      <c r="M614" t="s">
        <v>122</v>
      </c>
      <c r="N614" t="s">
        <v>122</v>
      </c>
    </row>
    <row r="615" spans="1:14" x14ac:dyDescent="0.25">
      <c r="A615" t="s">
        <v>48</v>
      </c>
      <c r="B615" s="5" t="s">
        <v>45</v>
      </c>
      <c r="C615" t="s">
        <v>123</v>
      </c>
      <c r="D615">
        <v>7.6</v>
      </c>
      <c r="E615">
        <f t="shared" si="19"/>
        <v>7.6</v>
      </c>
      <c r="F615" t="s">
        <v>42</v>
      </c>
      <c r="G615" t="s">
        <v>42</v>
      </c>
      <c r="H615" t="s">
        <v>42</v>
      </c>
      <c r="I615" t="s">
        <v>42</v>
      </c>
      <c r="J615" t="s">
        <v>42</v>
      </c>
      <c r="K615" t="s">
        <v>42</v>
      </c>
      <c r="L615" t="s">
        <v>42</v>
      </c>
      <c r="M615" t="s">
        <v>122</v>
      </c>
      <c r="N615" t="s">
        <v>122</v>
      </c>
    </row>
    <row r="616" spans="1:14" x14ac:dyDescent="0.25">
      <c r="A616" t="s">
        <v>48</v>
      </c>
      <c r="B616" s="5" t="s">
        <v>45</v>
      </c>
      <c r="C616" t="s">
        <v>121</v>
      </c>
      <c r="D616">
        <v>25.7</v>
      </c>
      <c r="E616">
        <f t="shared" si="19"/>
        <v>25.7</v>
      </c>
      <c r="F616" t="s">
        <v>42</v>
      </c>
      <c r="G616" t="s">
        <v>42</v>
      </c>
      <c r="H616" t="s">
        <v>42</v>
      </c>
      <c r="I616" t="s">
        <v>42</v>
      </c>
      <c r="J616" t="s">
        <v>42</v>
      </c>
      <c r="K616" t="s">
        <v>42</v>
      </c>
      <c r="L616" t="s">
        <v>42</v>
      </c>
      <c r="M616" t="s">
        <v>122</v>
      </c>
      <c r="N616" t="s">
        <v>122</v>
      </c>
    </row>
    <row r="617" spans="1:14" x14ac:dyDescent="0.25">
      <c r="A617" t="s">
        <v>48</v>
      </c>
      <c r="B617" s="5" t="s">
        <v>45</v>
      </c>
      <c r="C617" t="s">
        <v>121</v>
      </c>
      <c r="D617">
        <v>14.7</v>
      </c>
      <c r="E617">
        <f t="shared" si="19"/>
        <v>14.7</v>
      </c>
      <c r="F617" t="s">
        <v>42</v>
      </c>
      <c r="G617" t="s">
        <v>42</v>
      </c>
      <c r="H617" t="s">
        <v>42</v>
      </c>
      <c r="I617" t="s">
        <v>42</v>
      </c>
      <c r="J617" t="s">
        <v>42</v>
      </c>
      <c r="K617" t="s">
        <v>42</v>
      </c>
      <c r="L617" t="s">
        <v>42</v>
      </c>
      <c r="M617" t="s">
        <v>122</v>
      </c>
      <c r="N617" t="s">
        <v>122</v>
      </c>
    </row>
    <row r="618" spans="1:14" x14ac:dyDescent="0.25">
      <c r="A618" t="s">
        <v>48</v>
      </c>
      <c r="B618" s="5" t="s">
        <v>45</v>
      </c>
      <c r="C618" t="s">
        <v>121</v>
      </c>
      <c r="D618">
        <v>32.4</v>
      </c>
      <c r="E618">
        <f t="shared" si="19"/>
        <v>32.4</v>
      </c>
      <c r="F618" t="s">
        <v>42</v>
      </c>
      <c r="G618" t="s">
        <v>42</v>
      </c>
      <c r="H618" t="s">
        <v>42</v>
      </c>
      <c r="I618" t="s">
        <v>42</v>
      </c>
      <c r="J618" t="s">
        <v>42</v>
      </c>
      <c r="K618" t="s">
        <v>42</v>
      </c>
      <c r="L618" t="s">
        <v>42</v>
      </c>
      <c r="M618" t="s">
        <v>122</v>
      </c>
      <c r="N618" t="s">
        <v>122</v>
      </c>
    </row>
    <row r="619" spans="1:14" x14ac:dyDescent="0.25">
      <c r="A619" t="s">
        <v>48</v>
      </c>
      <c r="B619" s="5" t="s">
        <v>45</v>
      </c>
      <c r="C619" t="s">
        <v>121</v>
      </c>
      <c r="D619">
        <v>14.7</v>
      </c>
      <c r="E619">
        <f t="shared" si="19"/>
        <v>14.7</v>
      </c>
      <c r="F619" t="s">
        <v>42</v>
      </c>
      <c r="G619" t="s">
        <v>42</v>
      </c>
      <c r="H619" t="s">
        <v>42</v>
      </c>
      <c r="I619" t="s">
        <v>42</v>
      </c>
      <c r="J619" t="s">
        <v>42</v>
      </c>
      <c r="K619" t="s">
        <v>42</v>
      </c>
      <c r="L619" t="s">
        <v>42</v>
      </c>
      <c r="M619" t="s">
        <v>122</v>
      </c>
      <c r="N619" t="s">
        <v>122</v>
      </c>
    </row>
    <row r="620" spans="1:14" x14ac:dyDescent="0.25">
      <c r="A620" t="s">
        <v>48</v>
      </c>
      <c r="B620" s="5" t="s">
        <v>45</v>
      </c>
      <c r="C620" t="s">
        <v>123</v>
      </c>
      <c r="D620">
        <v>8.6999999999999993</v>
      </c>
      <c r="E620">
        <f t="shared" si="19"/>
        <v>8.6999999999999993</v>
      </c>
      <c r="F620" t="s">
        <v>42</v>
      </c>
      <c r="G620" t="s">
        <v>42</v>
      </c>
      <c r="H620" t="s">
        <v>42</v>
      </c>
      <c r="I620" t="s">
        <v>42</v>
      </c>
      <c r="J620" t="s">
        <v>42</v>
      </c>
      <c r="K620" t="s">
        <v>42</v>
      </c>
      <c r="L620" t="s">
        <v>42</v>
      </c>
      <c r="M620" t="s">
        <v>122</v>
      </c>
      <c r="N620" t="s">
        <v>122</v>
      </c>
    </row>
    <row r="621" spans="1:14" x14ac:dyDescent="0.25">
      <c r="A621" t="s">
        <v>48</v>
      </c>
      <c r="B621" s="5" t="s">
        <v>45</v>
      </c>
      <c r="C621" t="s">
        <v>123</v>
      </c>
      <c r="D621">
        <v>10.9</v>
      </c>
      <c r="E621">
        <f t="shared" si="19"/>
        <v>10.9</v>
      </c>
      <c r="F621" t="s">
        <v>42</v>
      </c>
      <c r="G621" t="s">
        <v>42</v>
      </c>
      <c r="H621" t="s">
        <v>42</v>
      </c>
      <c r="I621" t="s">
        <v>42</v>
      </c>
      <c r="J621" t="s">
        <v>42</v>
      </c>
      <c r="K621" t="s">
        <v>42</v>
      </c>
      <c r="L621" t="s">
        <v>42</v>
      </c>
      <c r="M621" t="s">
        <v>122</v>
      </c>
      <c r="N621" t="s">
        <v>122</v>
      </c>
    </row>
    <row r="622" spans="1:14" x14ac:dyDescent="0.25">
      <c r="A622" t="s">
        <v>48</v>
      </c>
      <c r="B622" s="5" t="s">
        <v>45</v>
      </c>
      <c r="C622" t="s">
        <v>121</v>
      </c>
      <c r="D622">
        <v>11.7</v>
      </c>
      <c r="E622">
        <f t="shared" si="19"/>
        <v>11.7</v>
      </c>
      <c r="F622" t="s">
        <v>42</v>
      </c>
      <c r="G622" t="s">
        <v>42</v>
      </c>
      <c r="H622" t="s">
        <v>42</v>
      </c>
      <c r="I622" t="s">
        <v>42</v>
      </c>
      <c r="J622" t="s">
        <v>42</v>
      </c>
      <c r="K622" t="s">
        <v>42</v>
      </c>
      <c r="L622" t="s">
        <v>42</v>
      </c>
      <c r="M622" t="s">
        <v>122</v>
      </c>
      <c r="N622" t="s">
        <v>122</v>
      </c>
    </row>
    <row r="623" spans="1:14" x14ac:dyDescent="0.25">
      <c r="A623" t="s">
        <v>48</v>
      </c>
      <c r="B623" s="5" t="s">
        <v>45</v>
      </c>
      <c r="C623" t="s">
        <v>121</v>
      </c>
      <c r="D623">
        <v>33.799999999999997</v>
      </c>
      <c r="E623">
        <f t="shared" si="19"/>
        <v>33.799999999999997</v>
      </c>
      <c r="F623" t="s">
        <v>42</v>
      </c>
      <c r="G623" t="s">
        <v>42</v>
      </c>
      <c r="H623" t="s">
        <v>42</v>
      </c>
      <c r="I623" t="s">
        <v>42</v>
      </c>
      <c r="J623" t="s">
        <v>42</v>
      </c>
      <c r="K623" t="s">
        <v>42</v>
      </c>
      <c r="L623" t="s">
        <v>42</v>
      </c>
      <c r="M623" t="s">
        <v>122</v>
      </c>
      <c r="N623" t="s">
        <v>122</v>
      </c>
    </row>
    <row r="624" spans="1:14" x14ac:dyDescent="0.25">
      <c r="A624" t="s">
        <v>48</v>
      </c>
      <c r="B624" s="5" t="s">
        <v>45</v>
      </c>
      <c r="C624" t="s">
        <v>123</v>
      </c>
      <c r="D624">
        <v>17.2</v>
      </c>
      <c r="E624">
        <f t="shared" si="19"/>
        <v>17.2</v>
      </c>
      <c r="F624" t="s">
        <v>42</v>
      </c>
      <c r="G624" t="s">
        <v>42</v>
      </c>
      <c r="H624" t="s">
        <v>42</v>
      </c>
      <c r="I624" t="s">
        <v>42</v>
      </c>
      <c r="J624" t="s">
        <v>42</v>
      </c>
      <c r="K624" t="s">
        <v>42</v>
      </c>
      <c r="L624" t="s">
        <v>42</v>
      </c>
      <c r="M624" t="s">
        <v>122</v>
      </c>
      <c r="N624" t="s">
        <v>122</v>
      </c>
    </row>
    <row r="625" spans="1:14" x14ac:dyDescent="0.25">
      <c r="A625" t="s">
        <v>48</v>
      </c>
      <c r="B625" s="5" t="s">
        <v>45</v>
      </c>
      <c r="C625" t="s">
        <v>123</v>
      </c>
      <c r="D625">
        <v>17.7</v>
      </c>
      <c r="E625">
        <f t="shared" si="19"/>
        <v>17.7</v>
      </c>
      <c r="F625" t="s">
        <v>42</v>
      </c>
      <c r="G625" t="s">
        <v>42</v>
      </c>
      <c r="H625" t="s">
        <v>42</v>
      </c>
      <c r="I625" t="s">
        <v>42</v>
      </c>
      <c r="J625" t="s">
        <v>42</v>
      </c>
      <c r="K625" t="s">
        <v>42</v>
      </c>
      <c r="L625" t="s">
        <v>42</v>
      </c>
      <c r="M625" t="s">
        <v>122</v>
      </c>
      <c r="N625" t="s">
        <v>122</v>
      </c>
    </row>
    <row r="626" spans="1:14" x14ac:dyDescent="0.25">
      <c r="A626" t="s">
        <v>48</v>
      </c>
      <c r="B626" s="5" t="s">
        <v>45</v>
      </c>
      <c r="C626" t="s">
        <v>123</v>
      </c>
      <c r="D626">
        <v>14</v>
      </c>
      <c r="E626">
        <f t="shared" si="19"/>
        <v>14</v>
      </c>
      <c r="F626" t="s">
        <v>42</v>
      </c>
      <c r="G626" t="s">
        <v>42</v>
      </c>
      <c r="H626" t="s">
        <v>42</v>
      </c>
      <c r="I626" t="s">
        <v>42</v>
      </c>
      <c r="J626" t="s">
        <v>42</v>
      </c>
      <c r="K626" t="s">
        <v>42</v>
      </c>
      <c r="L626" t="s">
        <v>42</v>
      </c>
      <c r="M626" t="s">
        <v>122</v>
      </c>
      <c r="N626" t="s">
        <v>122</v>
      </c>
    </row>
    <row r="627" spans="1:14" x14ac:dyDescent="0.25">
      <c r="A627" t="s">
        <v>48</v>
      </c>
      <c r="B627" s="5" t="s">
        <v>45</v>
      </c>
      <c r="C627" t="s">
        <v>123</v>
      </c>
      <c r="D627">
        <v>14.1</v>
      </c>
      <c r="E627">
        <f t="shared" si="19"/>
        <v>14.1</v>
      </c>
      <c r="F627" t="s">
        <v>42</v>
      </c>
      <c r="G627" t="s">
        <v>42</v>
      </c>
      <c r="H627" t="s">
        <v>42</v>
      </c>
      <c r="I627" t="s">
        <v>42</v>
      </c>
      <c r="J627" t="s">
        <v>42</v>
      </c>
      <c r="K627" t="s">
        <v>42</v>
      </c>
      <c r="L627" t="s">
        <v>42</v>
      </c>
      <c r="M627" t="s">
        <v>122</v>
      </c>
      <c r="N627" t="s">
        <v>122</v>
      </c>
    </row>
    <row r="628" spans="1:14" x14ac:dyDescent="0.25">
      <c r="A628" t="s">
        <v>48</v>
      </c>
      <c r="B628" s="5" t="s">
        <v>45</v>
      </c>
      <c r="C628" t="s">
        <v>121</v>
      </c>
      <c r="D628">
        <v>34.5</v>
      </c>
      <c r="E628">
        <f t="shared" si="19"/>
        <v>34.5</v>
      </c>
      <c r="F628" t="s">
        <v>42</v>
      </c>
      <c r="G628" t="s">
        <v>42</v>
      </c>
      <c r="H628" t="s">
        <v>42</v>
      </c>
      <c r="I628" t="s">
        <v>42</v>
      </c>
      <c r="J628" t="s">
        <v>42</v>
      </c>
      <c r="K628" t="s">
        <v>42</v>
      </c>
      <c r="L628" t="s">
        <v>42</v>
      </c>
      <c r="M628" t="s">
        <v>122</v>
      </c>
      <c r="N628" t="s">
        <v>122</v>
      </c>
    </row>
    <row r="629" spans="1:14" x14ac:dyDescent="0.25">
      <c r="A629" t="s">
        <v>48</v>
      </c>
      <c r="B629" s="5" t="s">
        <v>45</v>
      </c>
      <c r="C629" t="s">
        <v>121</v>
      </c>
      <c r="D629">
        <v>19</v>
      </c>
      <c r="E629">
        <f t="shared" si="19"/>
        <v>19</v>
      </c>
      <c r="F629" t="s">
        <v>42</v>
      </c>
      <c r="G629" t="s">
        <v>42</v>
      </c>
      <c r="H629" t="s">
        <v>42</v>
      </c>
      <c r="I629" t="s">
        <v>42</v>
      </c>
      <c r="J629" t="s">
        <v>42</v>
      </c>
      <c r="K629" t="s">
        <v>42</v>
      </c>
      <c r="L629" t="s">
        <v>42</v>
      </c>
      <c r="M629" t="s">
        <v>122</v>
      </c>
      <c r="N629" t="s">
        <v>122</v>
      </c>
    </row>
    <row r="630" spans="1:14" x14ac:dyDescent="0.25">
      <c r="A630" t="s">
        <v>48</v>
      </c>
      <c r="B630" s="5" t="s">
        <v>45</v>
      </c>
      <c r="C630" t="s">
        <v>121</v>
      </c>
      <c r="D630">
        <v>21.8</v>
      </c>
      <c r="E630">
        <f t="shared" si="19"/>
        <v>21.8</v>
      </c>
      <c r="F630" t="s">
        <v>42</v>
      </c>
      <c r="G630" t="s">
        <v>42</v>
      </c>
      <c r="H630" t="s">
        <v>42</v>
      </c>
      <c r="I630" t="s">
        <v>42</v>
      </c>
      <c r="J630" t="s">
        <v>42</v>
      </c>
      <c r="K630" t="s">
        <v>42</v>
      </c>
      <c r="L630" t="s">
        <v>42</v>
      </c>
      <c r="M630" t="s">
        <v>122</v>
      </c>
      <c r="N630" t="s">
        <v>122</v>
      </c>
    </row>
    <row r="631" spans="1:14" x14ac:dyDescent="0.25">
      <c r="A631" t="s">
        <v>48</v>
      </c>
      <c r="B631" s="5" t="s">
        <v>45</v>
      </c>
      <c r="C631" t="s">
        <v>121</v>
      </c>
      <c r="D631">
        <v>21.7</v>
      </c>
      <c r="E631">
        <f t="shared" si="19"/>
        <v>21.7</v>
      </c>
      <c r="F631" t="s">
        <v>42</v>
      </c>
      <c r="G631" t="s">
        <v>42</v>
      </c>
      <c r="H631" t="s">
        <v>42</v>
      </c>
      <c r="I631" t="s">
        <v>42</v>
      </c>
      <c r="J631" t="s">
        <v>42</v>
      </c>
      <c r="K631" t="s">
        <v>42</v>
      </c>
      <c r="L631" t="s">
        <v>42</v>
      </c>
      <c r="M631" t="s">
        <v>122</v>
      </c>
      <c r="N631" t="s">
        <v>122</v>
      </c>
    </row>
    <row r="632" spans="1:14" x14ac:dyDescent="0.25">
      <c r="A632" t="s">
        <v>48</v>
      </c>
      <c r="B632" s="5" t="s">
        <v>45</v>
      </c>
      <c r="C632" t="s">
        <v>121</v>
      </c>
      <c r="D632">
        <v>17.899999999999999</v>
      </c>
      <c r="E632">
        <f t="shared" si="19"/>
        <v>17.899999999999999</v>
      </c>
      <c r="F632" t="s">
        <v>42</v>
      </c>
      <c r="G632" t="s">
        <v>42</v>
      </c>
      <c r="H632" t="s">
        <v>42</v>
      </c>
      <c r="I632" t="s">
        <v>42</v>
      </c>
      <c r="J632" t="s">
        <v>42</v>
      </c>
      <c r="K632" t="s">
        <v>42</v>
      </c>
      <c r="L632" t="s">
        <v>42</v>
      </c>
      <c r="M632" t="s">
        <v>122</v>
      </c>
      <c r="N632" t="s">
        <v>122</v>
      </c>
    </row>
    <row r="633" spans="1:14" x14ac:dyDescent="0.25">
      <c r="A633" t="s">
        <v>48</v>
      </c>
      <c r="B633" s="5" t="s">
        <v>45</v>
      </c>
      <c r="C633" t="s">
        <v>123</v>
      </c>
      <c r="D633">
        <v>19.3</v>
      </c>
      <c r="E633">
        <f t="shared" si="19"/>
        <v>19.3</v>
      </c>
      <c r="F633" t="s">
        <v>42</v>
      </c>
      <c r="G633" t="s">
        <v>42</v>
      </c>
      <c r="H633" t="s">
        <v>42</v>
      </c>
      <c r="I633" t="s">
        <v>42</v>
      </c>
      <c r="J633" t="s">
        <v>42</v>
      </c>
      <c r="K633" t="s">
        <v>42</v>
      </c>
      <c r="L633" t="s">
        <v>42</v>
      </c>
      <c r="M633" t="s">
        <v>122</v>
      </c>
      <c r="N633" t="s">
        <v>122</v>
      </c>
    </row>
    <row r="634" spans="1:14" x14ac:dyDescent="0.25">
      <c r="A634" t="s">
        <v>48</v>
      </c>
      <c r="B634" s="5" t="s">
        <v>45</v>
      </c>
      <c r="C634" t="s">
        <v>123</v>
      </c>
      <c r="D634">
        <v>12.3</v>
      </c>
      <c r="E634">
        <f t="shared" si="19"/>
        <v>12.3</v>
      </c>
      <c r="F634" t="s">
        <v>42</v>
      </c>
      <c r="G634" t="s">
        <v>42</v>
      </c>
      <c r="H634" t="s">
        <v>42</v>
      </c>
      <c r="I634" t="s">
        <v>42</v>
      </c>
      <c r="J634" t="s">
        <v>42</v>
      </c>
      <c r="K634" t="s">
        <v>42</v>
      </c>
      <c r="L634" t="s">
        <v>42</v>
      </c>
      <c r="M634" t="s">
        <v>122</v>
      </c>
      <c r="N634" t="s">
        <v>122</v>
      </c>
    </row>
    <row r="635" spans="1:14" x14ac:dyDescent="0.25">
      <c r="A635" t="s">
        <v>48</v>
      </c>
      <c r="B635" s="5" t="s">
        <v>45</v>
      </c>
      <c r="C635" t="s">
        <v>121</v>
      </c>
      <c r="D635">
        <v>17.8</v>
      </c>
      <c r="E635">
        <f t="shared" si="19"/>
        <v>17.8</v>
      </c>
      <c r="F635" t="s">
        <v>42</v>
      </c>
      <c r="G635" t="s">
        <v>42</v>
      </c>
      <c r="H635" t="s">
        <v>42</v>
      </c>
      <c r="I635" t="s">
        <v>42</v>
      </c>
      <c r="J635" t="s">
        <v>42</v>
      </c>
      <c r="K635" t="s">
        <v>42</v>
      </c>
      <c r="L635" t="s">
        <v>42</v>
      </c>
      <c r="M635" t="s">
        <v>122</v>
      </c>
      <c r="N635" t="s">
        <v>122</v>
      </c>
    </row>
    <row r="636" spans="1:14" x14ac:dyDescent="0.25">
      <c r="A636" t="s">
        <v>48</v>
      </c>
      <c r="B636" s="5" t="s">
        <v>45</v>
      </c>
      <c r="C636" t="s">
        <v>121</v>
      </c>
      <c r="D636">
        <v>30.3</v>
      </c>
      <c r="E636">
        <f t="shared" si="19"/>
        <v>30.3</v>
      </c>
      <c r="F636" t="s">
        <v>42</v>
      </c>
      <c r="G636" t="s">
        <v>42</v>
      </c>
      <c r="H636" t="s">
        <v>42</v>
      </c>
      <c r="I636" t="s">
        <v>42</v>
      </c>
      <c r="J636" t="s">
        <v>42</v>
      </c>
      <c r="K636" t="s">
        <v>42</v>
      </c>
      <c r="L636" t="s">
        <v>42</v>
      </c>
      <c r="M636" t="s">
        <v>122</v>
      </c>
      <c r="N636" t="s">
        <v>122</v>
      </c>
    </row>
    <row r="637" spans="1:14" x14ac:dyDescent="0.25">
      <c r="A637" t="s">
        <v>48</v>
      </c>
      <c r="B637" s="5" t="s">
        <v>45</v>
      </c>
      <c r="C637" t="s">
        <v>121</v>
      </c>
      <c r="D637">
        <v>17</v>
      </c>
      <c r="E637">
        <f t="shared" si="19"/>
        <v>17</v>
      </c>
      <c r="F637" t="s">
        <v>42</v>
      </c>
      <c r="G637" t="s">
        <v>42</v>
      </c>
      <c r="H637" t="s">
        <v>42</v>
      </c>
      <c r="I637" t="s">
        <v>42</v>
      </c>
      <c r="J637" t="s">
        <v>42</v>
      </c>
      <c r="K637" t="s">
        <v>42</v>
      </c>
      <c r="L637" t="s">
        <v>42</v>
      </c>
      <c r="M637" t="s">
        <v>122</v>
      </c>
      <c r="N637" t="s">
        <v>122</v>
      </c>
    </row>
    <row r="638" spans="1:14" x14ac:dyDescent="0.25">
      <c r="A638" t="s">
        <v>48</v>
      </c>
      <c r="B638" s="5" t="s">
        <v>45</v>
      </c>
      <c r="C638" t="s">
        <v>123</v>
      </c>
      <c r="D638">
        <v>20.5</v>
      </c>
      <c r="E638">
        <f t="shared" si="19"/>
        <v>20.5</v>
      </c>
      <c r="F638" t="s">
        <v>42</v>
      </c>
      <c r="G638" t="s">
        <v>42</v>
      </c>
      <c r="H638" t="s">
        <v>42</v>
      </c>
      <c r="I638" t="s">
        <v>42</v>
      </c>
      <c r="J638" t="s">
        <v>42</v>
      </c>
      <c r="K638" t="s">
        <v>42</v>
      </c>
      <c r="L638" t="s">
        <v>42</v>
      </c>
      <c r="M638" t="s">
        <v>122</v>
      </c>
      <c r="N638" t="s">
        <v>122</v>
      </c>
    </row>
    <row r="639" spans="1:14" x14ac:dyDescent="0.25">
      <c r="A639" t="s">
        <v>48</v>
      </c>
      <c r="B639" s="5" t="s">
        <v>45</v>
      </c>
      <c r="C639" t="s">
        <v>123</v>
      </c>
      <c r="D639">
        <v>9.6999999999999993</v>
      </c>
      <c r="E639">
        <f t="shared" si="19"/>
        <v>9.6999999999999993</v>
      </c>
      <c r="F639" t="s">
        <v>42</v>
      </c>
      <c r="G639" t="s">
        <v>42</v>
      </c>
      <c r="H639" t="s">
        <v>42</v>
      </c>
      <c r="I639" t="s">
        <v>42</v>
      </c>
      <c r="J639" t="s">
        <v>42</v>
      </c>
      <c r="K639" t="s">
        <v>42</v>
      </c>
      <c r="L639" t="s">
        <v>42</v>
      </c>
      <c r="M639" t="s">
        <v>122</v>
      </c>
      <c r="N639" t="s">
        <v>122</v>
      </c>
    </row>
    <row r="640" spans="1:14" x14ac:dyDescent="0.25">
      <c r="A640" t="s">
        <v>48</v>
      </c>
      <c r="B640" s="5" t="s">
        <v>45</v>
      </c>
      <c r="C640" t="s">
        <v>123</v>
      </c>
      <c r="D640">
        <v>7.5</v>
      </c>
      <c r="E640">
        <f t="shared" si="19"/>
        <v>7.5</v>
      </c>
      <c r="F640" t="s">
        <v>42</v>
      </c>
      <c r="G640" t="s">
        <v>42</v>
      </c>
      <c r="H640" t="s">
        <v>42</v>
      </c>
      <c r="I640" t="s">
        <v>42</v>
      </c>
      <c r="J640" t="s">
        <v>42</v>
      </c>
      <c r="K640" t="s">
        <v>42</v>
      </c>
      <c r="L640" t="s">
        <v>42</v>
      </c>
      <c r="M640" t="s">
        <v>122</v>
      </c>
      <c r="N640" t="s">
        <v>122</v>
      </c>
    </row>
    <row r="641" spans="1:14" x14ac:dyDescent="0.25">
      <c r="A641" t="s">
        <v>48</v>
      </c>
      <c r="B641" s="5" t="s">
        <v>45</v>
      </c>
      <c r="C641" t="s">
        <v>121</v>
      </c>
      <c r="D641">
        <v>17.5</v>
      </c>
      <c r="E641">
        <f t="shared" si="19"/>
        <v>17.5</v>
      </c>
      <c r="F641" t="s">
        <v>42</v>
      </c>
      <c r="G641" t="s">
        <v>42</v>
      </c>
      <c r="H641" t="s">
        <v>42</v>
      </c>
      <c r="I641" t="s">
        <v>42</v>
      </c>
      <c r="J641" t="s">
        <v>42</v>
      </c>
      <c r="K641" t="s">
        <v>42</v>
      </c>
      <c r="L641" t="s">
        <v>42</v>
      </c>
      <c r="M641" t="s">
        <v>122</v>
      </c>
      <c r="N641" t="s">
        <v>122</v>
      </c>
    </row>
    <row r="642" spans="1:14" x14ac:dyDescent="0.25">
      <c r="A642" t="s">
        <v>48</v>
      </c>
      <c r="B642" s="5" t="s">
        <v>45</v>
      </c>
      <c r="C642" t="s">
        <v>121</v>
      </c>
      <c r="D642">
        <v>21.3</v>
      </c>
      <c r="E642">
        <f t="shared" si="19"/>
        <v>21.3</v>
      </c>
      <c r="F642" t="s">
        <v>42</v>
      </c>
      <c r="G642" t="s">
        <v>42</v>
      </c>
      <c r="H642" t="s">
        <v>42</v>
      </c>
      <c r="I642" t="s">
        <v>42</v>
      </c>
      <c r="J642" t="s">
        <v>42</v>
      </c>
      <c r="K642" t="s">
        <v>42</v>
      </c>
      <c r="L642" t="s">
        <v>42</v>
      </c>
      <c r="M642" t="s">
        <v>122</v>
      </c>
      <c r="N642" t="s">
        <v>122</v>
      </c>
    </row>
    <row r="643" spans="1:14" x14ac:dyDescent="0.25">
      <c r="A643" t="s">
        <v>48</v>
      </c>
      <c r="B643" s="5" t="s">
        <v>45</v>
      </c>
      <c r="C643" t="s">
        <v>123</v>
      </c>
      <c r="D643">
        <v>9.5</v>
      </c>
      <c r="E643">
        <f t="shared" si="19"/>
        <v>9.5</v>
      </c>
      <c r="F643" t="s">
        <v>42</v>
      </c>
      <c r="G643" t="s">
        <v>42</v>
      </c>
      <c r="H643" t="s">
        <v>42</v>
      </c>
      <c r="I643" t="s">
        <v>42</v>
      </c>
      <c r="J643" t="s">
        <v>42</v>
      </c>
      <c r="K643" t="s">
        <v>42</v>
      </c>
      <c r="L643" t="s">
        <v>42</v>
      </c>
      <c r="M643" t="s">
        <v>122</v>
      </c>
      <c r="N643" t="s">
        <v>122</v>
      </c>
    </row>
    <row r="644" spans="1:14" x14ac:dyDescent="0.25">
      <c r="A644" t="s">
        <v>48</v>
      </c>
      <c r="B644" s="5" t="s">
        <v>45</v>
      </c>
      <c r="C644" t="s">
        <v>121</v>
      </c>
      <c r="D644">
        <v>21.8</v>
      </c>
      <c r="E644">
        <f t="shared" si="19"/>
        <v>21.8</v>
      </c>
      <c r="F644" t="s">
        <v>42</v>
      </c>
      <c r="G644" t="s">
        <v>42</v>
      </c>
      <c r="H644" t="s">
        <v>42</v>
      </c>
      <c r="I644" t="s">
        <v>42</v>
      </c>
      <c r="J644" t="s">
        <v>42</v>
      </c>
      <c r="K644" t="s">
        <v>42</v>
      </c>
      <c r="L644" t="s">
        <v>42</v>
      </c>
      <c r="M644" t="s">
        <v>122</v>
      </c>
      <c r="N644" t="s">
        <v>122</v>
      </c>
    </row>
    <row r="645" spans="1:14" x14ac:dyDescent="0.25">
      <c r="A645" t="s">
        <v>48</v>
      </c>
      <c r="B645" s="5" t="s">
        <v>45</v>
      </c>
      <c r="C645" t="s">
        <v>121</v>
      </c>
      <c r="D645">
        <v>37</v>
      </c>
      <c r="E645">
        <f t="shared" si="19"/>
        <v>37</v>
      </c>
      <c r="F645" t="s">
        <v>42</v>
      </c>
      <c r="G645" t="s">
        <v>42</v>
      </c>
      <c r="H645" t="s">
        <v>42</v>
      </c>
      <c r="I645" t="s">
        <v>42</v>
      </c>
      <c r="J645" t="s">
        <v>42</v>
      </c>
      <c r="K645" t="s">
        <v>42</v>
      </c>
      <c r="L645" t="s">
        <v>42</v>
      </c>
      <c r="M645" t="s">
        <v>122</v>
      </c>
      <c r="N645" t="s">
        <v>122</v>
      </c>
    </row>
    <row r="646" spans="1:14" x14ac:dyDescent="0.25">
      <c r="A646" t="s">
        <v>48</v>
      </c>
      <c r="B646" s="5" t="s">
        <v>45</v>
      </c>
      <c r="C646" t="s">
        <v>123</v>
      </c>
      <c r="D646">
        <v>14.7</v>
      </c>
      <c r="E646">
        <f t="shared" si="19"/>
        <v>14.7</v>
      </c>
      <c r="F646" t="s">
        <v>42</v>
      </c>
      <c r="G646" t="s">
        <v>42</v>
      </c>
      <c r="H646" t="s">
        <v>42</v>
      </c>
      <c r="I646" t="s">
        <v>42</v>
      </c>
      <c r="J646" t="s">
        <v>42</v>
      </c>
      <c r="K646" t="s">
        <v>42</v>
      </c>
      <c r="L646" t="s">
        <v>42</v>
      </c>
      <c r="M646" t="s">
        <v>122</v>
      </c>
      <c r="N646" t="s">
        <v>122</v>
      </c>
    </row>
    <row r="647" spans="1:14" x14ac:dyDescent="0.25">
      <c r="A647" t="s">
        <v>48</v>
      </c>
      <c r="B647" s="5" t="s">
        <v>45</v>
      </c>
      <c r="C647" t="s">
        <v>123</v>
      </c>
      <c r="D647">
        <v>17.2</v>
      </c>
      <c r="E647">
        <f t="shared" ref="E647:E710" si="20">D647</f>
        <v>17.2</v>
      </c>
      <c r="F647" t="s">
        <v>42</v>
      </c>
      <c r="G647" t="s">
        <v>42</v>
      </c>
      <c r="H647" t="s">
        <v>42</v>
      </c>
      <c r="I647" t="s">
        <v>42</v>
      </c>
      <c r="J647" t="s">
        <v>42</v>
      </c>
      <c r="K647" t="s">
        <v>42</v>
      </c>
      <c r="L647" t="s">
        <v>42</v>
      </c>
      <c r="M647" t="s">
        <v>122</v>
      </c>
      <c r="N647" t="s">
        <v>122</v>
      </c>
    </row>
    <row r="648" spans="1:14" x14ac:dyDescent="0.25">
      <c r="A648" t="s">
        <v>48</v>
      </c>
      <c r="B648" s="5" t="s">
        <v>45</v>
      </c>
      <c r="C648" t="s">
        <v>121</v>
      </c>
      <c r="D648">
        <v>26.9</v>
      </c>
      <c r="E648">
        <f t="shared" si="20"/>
        <v>26.9</v>
      </c>
      <c r="F648" t="s">
        <v>42</v>
      </c>
      <c r="G648" t="s">
        <v>42</v>
      </c>
      <c r="H648" t="s">
        <v>42</v>
      </c>
      <c r="I648" t="s">
        <v>42</v>
      </c>
      <c r="J648" t="s">
        <v>42</v>
      </c>
      <c r="K648" t="s">
        <v>42</v>
      </c>
      <c r="L648" t="s">
        <v>42</v>
      </c>
      <c r="M648" t="s">
        <v>122</v>
      </c>
      <c r="N648" t="s">
        <v>122</v>
      </c>
    </row>
    <row r="649" spans="1:14" x14ac:dyDescent="0.25">
      <c r="A649" t="s">
        <v>48</v>
      </c>
      <c r="B649" s="5" t="s">
        <v>45</v>
      </c>
      <c r="C649" t="s">
        <v>121</v>
      </c>
      <c r="D649">
        <v>7.8</v>
      </c>
      <c r="E649">
        <f t="shared" si="20"/>
        <v>7.8</v>
      </c>
      <c r="F649" t="s">
        <v>42</v>
      </c>
      <c r="G649" t="s">
        <v>42</v>
      </c>
      <c r="H649" t="s">
        <v>42</v>
      </c>
      <c r="I649" t="s">
        <v>42</v>
      </c>
      <c r="J649" t="s">
        <v>42</v>
      </c>
      <c r="K649" t="s">
        <v>42</v>
      </c>
      <c r="L649" t="s">
        <v>42</v>
      </c>
      <c r="M649" t="s">
        <v>122</v>
      </c>
      <c r="N649" t="s">
        <v>122</v>
      </c>
    </row>
    <row r="650" spans="1:14" x14ac:dyDescent="0.25">
      <c r="A650" t="s">
        <v>48</v>
      </c>
      <c r="B650" s="5" t="s">
        <v>45</v>
      </c>
      <c r="C650" t="s">
        <v>121</v>
      </c>
      <c r="D650">
        <v>16.5</v>
      </c>
      <c r="E650">
        <f t="shared" si="20"/>
        <v>16.5</v>
      </c>
      <c r="F650" t="s">
        <v>42</v>
      </c>
      <c r="G650" t="s">
        <v>42</v>
      </c>
      <c r="H650" t="s">
        <v>42</v>
      </c>
      <c r="I650" t="s">
        <v>42</v>
      </c>
      <c r="J650" t="s">
        <v>42</v>
      </c>
      <c r="K650" t="s">
        <v>42</v>
      </c>
      <c r="L650" t="s">
        <v>42</v>
      </c>
      <c r="M650" t="s">
        <v>122</v>
      </c>
      <c r="N650" t="s">
        <v>122</v>
      </c>
    </row>
    <row r="651" spans="1:14" x14ac:dyDescent="0.25">
      <c r="A651" t="s">
        <v>48</v>
      </c>
      <c r="B651" s="5" t="s">
        <v>45</v>
      </c>
      <c r="C651" t="s">
        <v>121</v>
      </c>
      <c r="D651">
        <v>24.3</v>
      </c>
      <c r="E651">
        <f t="shared" si="20"/>
        <v>24.3</v>
      </c>
      <c r="F651" t="s">
        <v>42</v>
      </c>
      <c r="G651" t="s">
        <v>42</v>
      </c>
      <c r="H651" t="s">
        <v>42</v>
      </c>
      <c r="I651" t="s">
        <v>42</v>
      </c>
      <c r="J651" t="s">
        <v>42</v>
      </c>
      <c r="K651" t="s">
        <v>42</v>
      </c>
      <c r="L651" t="s">
        <v>42</v>
      </c>
      <c r="M651" t="s">
        <v>122</v>
      </c>
      <c r="N651" t="s">
        <v>122</v>
      </c>
    </row>
    <row r="652" spans="1:14" x14ac:dyDescent="0.25">
      <c r="A652" t="s">
        <v>48</v>
      </c>
      <c r="B652" s="5" t="s">
        <v>45</v>
      </c>
      <c r="C652" t="s">
        <v>121</v>
      </c>
      <c r="D652">
        <v>18</v>
      </c>
      <c r="E652">
        <f t="shared" si="20"/>
        <v>18</v>
      </c>
      <c r="F652" t="s">
        <v>42</v>
      </c>
      <c r="G652" t="s">
        <v>42</v>
      </c>
      <c r="H652" t="s">
        <v>42</v>
      </c>
      <c r="I652" t="s">
        <v>42</v>
      </c>
      <c r="J652" t="s">
        <v>42</v>
      </c>
      <c r="K652" t="s">
        <v>42</v>
      </c>
      <c r="L652" t="s">
        <v>42</v>
      </c>
      <c r="M652" t="s">
        <v>122</v>
      </c>
      <c r="N652" t="s">
        <v>122</v>
      </c>
    </row>
    <row r="653" spans="1:14" x14ac:dyDescent="0.25">
      <c r="A653" t="s">
        <v>48</v>
      </c>
      <c r="B653" s="5" t="s">
        <v>45</v>
      </c>
      <c r="C653" t="s">
        <v>121</v>
      </c>
      <c r="D653">
        <v>27.5</v>
      </c>
      <c r="E653">
        <f t="shared" si="20"/>
        <v>27.5</v>
      </c>
      <c r="F653" t="s">
        <v>42</v>
      </c>
      <c r="G653" t="s">
        <v>42</v>
      </c>
      <c r="H653" t="s">
        <v>42</v>
      </c>
      <c r="I653" t="s">
        <v>42</v>
      </c>
      <c r="J653" t="s">
        <v>42</v>
      </c>
      <c r="K653" t="s">
        <v>42</v>
      </c>
      <c r="L653" t="s">
        <v>42</v>
      </c>
      <c r="M653" t="s">
        <v>122</v>
      </c>
      <c r="N653" t="s">
        <v>122</v>
      </c>
    </row>
    <row r="654" spans="1:14" x14ac:dyDescent="0.25">
      <c r="A654" t="s">
        <v>48</v>
      </c>
      <c r="B654" s="5" t="s">
        <v>45</v>
      </c>
      <c r="C654" t="s">
        <v>123</v>
      </c>
      <c r="D654">
        <v>18.3</v>
      </c>
      <c r="E654">
        <f t="shared" si="20"/>
        <v>18.3</v>
      </c>
      <c r="F654" t="s">
        <v>42</v>
      </c>
      <c r="G654" t="s">
        <v>42</v>
      </c>
      <c r="H654" t="s">
        <v>42</v>
      </c>
      <c r="I654" t="s">
        <v>42</v>
      </c>
      <c r="J654" t="s">
        <v>42</v>
      </c>
      <c r="K654" t="s">
        <v>42</v>
      </c>
      <c r="L654" t="s">
        <v>42</v>
      </c>
      <c r="M654" t="s">
        <v>122</v>
      </c>
      <c r="N654" t="s">
        <v>122</v>
      </c>
    </row>
    <row r="655" spans="1:14" x14ac:dyDescent="0.25">
      <c r="A655" t="s">
        <v>48</v>
      </c>
      <c r="B655" s="5" t="s">
        <v>45</v>
      </c>
      <c r="C655" t="s">
        <v>123</v>
      </c>
      <c r="D655">
        <v>9.1999999999999993</v>
      </c>
      <c r="E655">
        <f t="shared" si="20"/>
        <v>9.1999999999999993</v>
      </c>
      <c r="F655" t="s">
        <v>42</v>
      </c>
      <c r="G655" t="s">
        <v>42</v>
      </c>
      <c r="H655" t="s">
        <v>42</v>
      </c>
      <c r="I655" t="s">
        <v>42</v>
      </c>
      <c r="J655" t="s">
        <v>42</v>
      </c>
      <c r="K655" t="s">
        <v>42</v>
      </c>
      <c r="L655" t="s">
        <v>42</v>
      </c>
      <c r="M655" t="s">
        <v>122</v>
      </c>
      <c r="N655" t="s">
        <v>122</v>
      </c>
    </row>
    <row r="656" spans="1:14" x14ac:dyDescent="0.25">
      <c r="A656" t="s">
        <v>48</v>
      </c>
      <c r="B656" s="5" t="s">
        <v>45</v>
      </c>
      <c r="C656" t="s">
        <v>123</v>
      </c>
      <c r="D656">
        <v>14.4</v>
      </c>
      <c r="E656">
        <f t="shared" si="20"/>
        <v>14.4</v>
      </c>
      <c r="F656" t="s">
        <v>42</v>
      </c>
      <c r="G656" t="s">
        <v>42</v>
      </c>
      <c r="H656" t="s">
        <v>42</v>
      </c>
      <c r="I656" t="s">
        <v>42</v>
      </c>
      <c r="J656" t="s">
        <v>42</v>
      </c>
      <c r="K656" t="s">
        <v>42</v>
      </c>
      <c r="L656" t="s">
        <v>42</v>
      </c>
      <c r="M656" t="s">
        <v>122</v>
      </c>
      <c r="N656" t="s">
        <v>122</v>
      </c>
    </row>
    <row r="657" spans="1:14" x14ac:dyDescent="0.25">
      <c r="A657" t="s">
        <v>48</v>
      </c>
      <c r="B657" s="5" t="s">
        <v>45</v>
      </c>
      <c r="C657" t="s">
        <v>123</v>
      </c>
      <c r="D657">
        <v>9.6</v>
      </c>
      <c r="E657">
        <f t="shared" si="20"/>
        <v>9.6</v>
      </c>
      <c r="F657" t="s">
        <v>42</v>
      </c>
      <c r="G657" t="s">
        <v>42</v>
      </c>
      <c r="H657" t="s">
        <v>42</v>
      </c>
      <c r="I657" t="s">
        <v>42</v>
      </c>
      <c r="J657" t="s">
        <v>42</v>
      </c>
      <c r="K657" t="s">
        <v>42</v>
      </c>
      <c r="L657" t="s">
        <v>42</v>
      </c>
      <c r="M657" t="s">
        <v>122</v>
      </c>
      <c r="N657" t="s">
        <v>122</v>
      </c>
    </row>
    <row r="658" spans="1:14" x14ac:dyDescent="0.25">
      <c r="A658" t="s">
        <v>48</v>
      </c>
      <c r="B658" s="5" t="s">
        <v>45</v>
      </c>
      <c r="C658" t="s">
        <v>121</v>
      </c>
      <c r="D658">
        <v>16.3</v>
      </c>
      <c r="E658">
        <f t="shared" si="20"/>
        <v>16.3</v>
      </c>
      <c r="F658" t="s">
        <v>42</v>
      </c>
      <c r="G658" t="s">
        <v>42</v>
      </c>
      <c r="H658" t="s">
        <v>42</v>
      </c>
      <c r="I658" t="s">
        <v>42</v>
      </c>
      <c r="J658" t="s">
        <v>42</v>
      </c>
      <c r="K658" t="s">
        <v>42</v>
      </c>
      <c r="L658" t="s">
        <v>42</v>
      </c>
      <c r="M658" t="s">
        <v>122</v>
      </c>
      <c r="N658" t="s">
        <v>122</v>
      </c>
    </row>
    <row r="659" spans="1:14" x14ac:dyDescent="0.25">
      <c r="A659" t="s">
        <v>48</v>
      </c>
      <c r="B659" s="5" t="s">
        <v>45</v>
      </c>
      <c r="C659" t="s">
        <v>123</v>
      </c>
      <c r="D659">
        <v>13</v>
      </c>
      <c r="E659">
        <f t="shared" si="20"/>
        <v>13</v>
      </c>
      <c r="F659" t="s">
        <v>42</v>
      </c>
      <c r="G659" t="s">
        <v>42</v>
      </c>
      <c r="H659" t="s">
        <v>42</v>
      </c>
      <c r="I659" t="s">
        <v>42</v>
      </c>
      <c r="J659" t="s">
        <v>42</v>
      </c>
      <c r="K659" t="s">
        <v>42</v>
      </c>
      <c r="L659" t="s">
        <v>42</v>
      </c>
      <c r="M659" t="s">
        <v>122</v>
      </c>
      <c r="N659" t="s">
        <v>122</v>
      </c>
    </row>
    <row r="660" spans="1:14" x14ac:dyDescent="0.25">
      <c r="A660" t="s">
        <v>48</v>
      </c>
      <c r="B660" s="5" t="s">
        <v>45</v>
      </c>
      <c r="C660" t="s">
        <v>123</v>
      </c>
      <c r="D660">
        <v>10</v>
      </c>
      <c r="E660">
        <f t="shared" si="20"/>
        <v>10</v>
      </c>
      <c r="F660" t="s">
        <v>42</v>
      </c>
      <c r="G660" t="s">
        <v>42</v>
      </c>
      <c r="H660" t="s">
        <v>42</v>
      </c>
      <c r="I660" t="s">
        <v>42</v>
      </c>
      <c r="J660" t="s">
        <v>42</v>
      </c>
      <c r="K660" t="s">
        <v>42</v>
      </c>
      <c r="L660" t="s">
        <v>42</v>
      </c>
      <c r="M660" t="s">
        <v>122</v>
      </c>
      <c r="N660" t="s">
        <v>122</v>
      </c>
    </row>
    <row r="661" spans="1:14" x14ac:dyDescent="0.25">
      <c r="A661" t="s">
        <v>48</v>
      </c>
      <c r="B661" s="5" t="s">
        <v>45</v>
      </c>
      <c r="C661" t="s">
        <v>121</v>
      </c>
      <c r="D661">
        <v>8</v>
      </c>
      <c r="E661">
        <f t="shared" si="20"/>
        <v>8</v>
      </c>
      <c r="F661" t="s">
        <v>42</v>
      </c>
      <c r="G661" t="s">
        <v>42</v>
      </c>
      <c r="H661" t="s">
        <v>42</v>
      </c>
      <c r="I661" t="s">
        <v>42</v>
      </c>
      <c r="J661" t="s">
        <v>42</v>
      </c>
      <c r="K661" t="s">
        <v>42</v>
      </c>
      <c r="L661" t="s">
        <v>42</v>
      </c>
      <c r="M661" t="s">
        <v>122</v>
      </c>
      <c r="N661" t="s">
        <v>122</v>
      </c>
    </row>
    <row r="662" spans="1:14" x14ac:dyDescent="0.25">
      <c r="A662" t="s">
        <v>48</v>
      </c>
      <c r="B662" s="5" t="s">
        <v>45</v>
      </c>
      <c r="C662" t="s">
        <v>123</v>
      </c>
      <c r="D662">
        <v>10.6</v>
      </c>
      <c r="E662">
        <f t="shared" si="20"/>
        <v>10.6</v>
      </c>
      <c r="F662" t="s">
        <v>42</v>
      </c>
      <c r="G662" t="s">
        <v>42</v>
      </c>
      <c r="H662" t="s">
        <v>42</v>
      </c>
      <c r="I662" t="s">
        <v>42</v>
      </c>
      <c r="J662" t="s">
        <v>42</v>
      </c>
      <c r="K662" t="s">
        <v>42</v>
      </c>
      <c r="L662" t="s">
        <v>42</v>
      </c>
      <c r="M662" t="s">
        <v>122</v>
      </c>
      <c r="N662" t="s">
        <v>122</v>
      </c>
    </row>
    <row r="663" spans="1:14" x14ac:dyDescent="0.25">
      <c r="A663" t="s">
        <v>48</v>
      </c>
      <c r="B663" s="5" t="s">
        <v>45</v>
      </c>
      <c r="C663" t="s">
        <v>123</v>
      </c>
      <c r="D663">
        <v>14.6</v>
      </c>
      <c r="E663">
        <f t="shared" si="20"/>
        <v>14.6</v>
      </c>
      <c r="F663" t="s">
        <v>42</v>
      </c>
      <c r="G663" t="s">
        <v>42</v>
      </c>
      <c r="H663" t="s">
        <v>42</v>
      </c>
      <c r="I663" t="s">
        <v>42</v>
      </c>
      <c r="J663" t="s">
        <v>42</v>
      </c>
      <c r="K663" t="s">
        <v>42</v>
      </c>
      <c r="L663" t="s">
        <v>42</v>
      </c>
      <c r="M663" t="s">
        <v>122</v>
      </c>
      <c r="N663" t="s">
        <v>122</v>
      </c>
    </row>
    <row r="664" spans="1:14" x14ac:dyDescent="0.25">
      <c r="A664" t="s">
        <v>48</v>
      </c>
      <c r="B664" s="5" t="s">
        <v>45</v>
      </c>
      <c r="C664" t="s">
        <v>123</v>
      </c>
      <c r="D664">
        <v>11.9</v>
      </c>
      <c r="E664">
        <f t="shared" si="20"/>
        <v>11.9</v>
      </c>
      <c r="F664" t="s">
        <v>42</v>
      </c>
      <c r="G664" t="s">
        <v>42</v>
      </c>
      <c r="H664" t="s">
        <v>42</v>
      </c>
      <c r="I664" t="s">
        <v>42</v>
      </c>
      <c r="J664" t="s">
        <v>42</v>
      </c>
      <c r="K664" t="s">
        <v>42</v>
      </c>
      <c r="L664" t="s">
        <v>42</v>
      </c>
      <c r="M664" t="s">
        <v>122</v>
      </c>
      <c r="N664" t="s">
        <v>122</v>
      </c>
    </row>
    <row r="665" spans="1:14" x14ac:dyDescent="0.25">
      <c r="A665" t="s">
        <v>48</v>
      </c>
      <c r="B665" s="5" t="s">
        <v>45</v>
      </c>
      <c r="C665" t="s">
        <v>123</v>
      </c>
      <c r="D665">
        <v>17.2</v>
      </c>
      <c r="E665">
        <f t="shared" si="20"/>
        <v>17.2</v>
      </c>
      <c r="F665" t="s">
        <v>42</v>
      </c>
      <c r="G665" t="s">
        <v>42</v>
      </c>
      <c r="H665" t="s">
        <v>42</v>
      </c>
      <c r="I665" t="s">
        <v>42</v>
      </c>
      <c r="J665" t="s">
        <v>42</v>
      </c>
      <c r="K665" t="s">
        <v>42</v>
      </c>
      <c r="L665" t="s">
        <v>42</v>
      </c>
      <c r="M665" t="s">
        <v>122</v>
      </c>
      <c r="N665" t="s">
        <v>122</v>
      </c>
    </row>
    <row r="666" spans="1:14" x14ac:dyDescent="0.25">
      <c r="A666" t="s">
        <v>48</v>
      </c>
      <c r="B666" s="5" t="s">
        <v>45</v>
      </c>
      <c r="C666" t="s">
        <v>123</v>
      </c>
      <c r="D666">
        <v>19.8</v>
      </c>
      <c r="E666">
        <f t="shared" si="20"/>
        <v>19.8</v>
      </c>
      <c r="F666" t="s">
        <v>42</v>
      </c>
      <c r="G666" t="s">
        <v>42</v>
      </c>
      <c r="H666" t="s">
        <v>42</v>
      </c>
      <c r="I666" t="s">
        <v>42</v>
      </c>
      <c r="J666" t="s">
        <v>42</v>
      </c>
      <c r="K666" t="s">
        <v>42</v>
      </c>
      <c r="L666" t="s">
        <v>42</v>
      </c>
      <c r="M666" t="s">
        <v>122</v>
      </c>
      <c r="N666" t="s">
        <v>122</v>
      </c>
    </row>
    <row r="667" spans="1:14" x14ac:dyDescent="0.25">
      <c r="A667" t="s">
        <v>48</v>
      </c>
      <c r="B667" s="5" t="s">
        <v>45</v>
      </c>
      <c r="C667" t="s">
        <v>121</v>
      </c>
      <c r="D667">
        <v>18.399999999999999</v>
      </c>
      <c r="E667">
        <f t="shared" si="20"/>
        <v>18.399999999999999</v>
      </c>
      <c r="F667" t="s">
        <v>42</v>
      </c>
      <c r="G667" t="s">
        <v>42</v>
      </c>
      <c r="H667" t="s">
        <v>42</v>
      </c>
      <c r="I667" t="s">
        <v>42</v>
      </c>
      <c r="J667" t="s">
        <v>42</v>
      </c>
      <c r="K667" t="s">
        <v>42</v>
      </c>
      <c r="L667" t="s">
        <v>42</v>
      </c>
      <c r="M667" t="s">
        <v>122</v>
      </c>
      <c r="N667" t="s">
        <v>122</v>
      </c>
    </row>
    <row r="668" spans="1:14" x14ac:dyDescent="0.25">
      <c r="A668" t="s">
        <v>48</v>
      </c>
      <c r="B668" s="5" t="s">
        <v>45</v>
      </c>
      <c r="C668" t="s">
        <v>121</v>
      </c>
      <c r="D668">
        <v>13.9</v>
      </c>
      <c r="E668">
        <f t="shared" si="20"/>
        <v>13.9</v>
      </c>
      <c r="F668" t="s">
        <v>42</v>
      </c>
      <c r="G668" t="s">
        <v>42</v>
      </c>
      <c r="H668" t="s">
        <v>42</v>
      </c>
      <c r="I668" t="s">
        <v>42</v>
      </c>
      <c r="J668" t="s">
        <v>42</v>
      </c>
      <c r="K668" t="s">
        <v>42</v>
      </c>
      <c r="L668" t="s">
        <v>42</v>
      </c>
      <c r="M668" t="s">
        <v>122</v>
      </c>
      <c r="N668" t="s">
        <v>122</v>
      </c>
    </row>
    <row r="669" spans="1:14" x14ac:dyDescent="0.25">
      <c r="A669" t="s">
        <v>48</v>
      </c>
      <c r="B669" s="5" t="s">
        <v>45</v>
      </c>
      <c r="C669" t="s">
        <v>121</v>
      </c>
      <c r="D669">
        <v>20.399999999999999</v>
      </c>
      <c r="E669">
        <f t="shared" si="20"/>
        <v>20.399999999999999</v>
      </c>
      <c r="F669" t="s">
        <v>42</v>
      </c>
      <c r="G669" t="s">
        <v>42</v>
      </c>
      <c r="H669" t="s">
        <v>42</v>
      </c>
      <c r="I669" t="s">
        <v>42</v>
      </c>
      <c r="J669" t="s">
        <v>42</v>
      </c>
      <c r="K669" t="s">
        <v>42</v>
      </c>
      <c r="L669" t="s">
        <v>42</v>
      </c>
      <c r="M669" t="s">
        <v>122</v>
      </c>
      <c r="N669" t="s">
        <v>122</v>
      </c>
    </row>
    <row r="670" spans="1:14" x14ac:dyDescent="0.25">
      <c r="A670" t="s">
        <v>48</v>
      </c>
      <c r="B670" s="5" t="s">
        <v>45</v>
      </c>
      <c r="C670" t="s">
        <v>121</v>
      </c>
      <c r="D670">
        <v>33.299999999999997</v>
      </c>
      <c r="E670">
        <f t="shared" si="20"/>
        <v>33.299999999999997</v>
      </c>
      <c r="F670" t="s">
        <v>42</v>
      </c>
      <c r="G670" t="s">
        <v>42</v>
      </c>
      <c r="H670" t="s">
        <v>42</v>
      </c>
      <c r="I670" t="s">
        <v>42</v>
      </c>
      <c r="J670" t="s">
        <v>42</v>
      </c>
      <c r="K670" t="s">
        <v>42</v>
      </c>
      <c r="L670" t="s">
        <v>42</v>
      </c>
      <c r="M670" t="s">
        <v>122</v>
      </c>
      <c r="N670" t="s">
        <v>122</v>
      </c>
    </row>
    <row r="671" spans="1:14" x14ac:dyDescent="0.25">
      <c r="A671" t="s">
        <v>48</v>
      </c>
      <c r="B671" s="5" t="s">
        <v>45</v>
      </c>
      <c r="C671" t="s">
        <v>123</v>
      </c>
      <c r="D671">
        <v>19.8</v>
      </c>
      <c r="E671">
        <f t="shared" si="20"/>
        <v>19.8</v>
      </c>
      <c r="F671" t="s">
        <v>42</v>
      </c>
      <c r="G671" t="s">
        <v>42</v>
      </c>
      <c r="H671" t="s">
        <v>42</v>
      </c>
      <c r="I671" t="s">
        <v>42</v>
      </c>
      <c r="J671" t="s">
        <v>42</v>
      </c>
      <c r="K671" t="s">
        <v>42</v>
      </c>
      <c r="L671" t="s">
        <v>42</v>
      </c>
      <c r="M671" t="s">
        <v>122</v>
      </c>
      <c r="N671" t="s">
        <v>122</v>
      </c>
    </row>
    <row r="672" spans="1:14" x14ac:dyDescent="0.25">
      <c r="A672" t="s">
        <v>50</v>
      </c>
      <c r="B672" s="5" t="s">
        <v>45</v>
      </c>
      <c r="C672" t="s">
        <v>121</v>
      </c>
      <c r="D672">
        <v>12</v>
      </c>
      <c r="E672">
        <f t="shared" si="20"/>
        <v>12</v>
      </c>
      <c r="F672" t="s">
        <v>42</v>
      </c>
      <c r="G672" t="s">
        <v>42</v>
      </c>
      <c r="H672" t="s">
        <v>42</v>
      </c>
      <c r="I672" t="s">
        <v>42</v>
      </c>
      <c r="J672" t="s">
        <v>42</v>
      </c>
      <c r="K672" t="s">
        <v>42</v>
      </c>
      <c r="L672" t="s">
        <v>42</v>
      </c>
      <c r="M672" t="s">
        <v>122</v>
      </c>
      <c r="N672" t="s">
        <v>122</v>
      </c>
    </row>
    <row r="673" spans="1:14" x14ac:dyDescent="0.25">
      <c r="A673" t="s">
        <v>50</v>
      </c>
      <c r="B673" s="5" t="s">
        <v>45</v>
      </c>
      <c r="C673" t="s">
        <v>121</v>
      </c>
      <c r="D673">
        <v>20.8</v>
      </c>
      <c r="E673">
        <f t="shared" si="20"/>
        <v>20.8</v>
      </c>
      <c r="F673" t="s">
        <v>42</v>
      </c>
      <c r="G673" t="s">
        <v>42</v>
      </c>
      <c r="H673" t="s">
        <v>42</v>
      </c>
      <c r="I673" t="s">
        <v>42</v>
      </c>
      <c r="J673" t="s">
        <v>42</v>
      </c>
      <c r="K673" t="s">
        <v>42</v>
      </c>
      <c r="L673" t="s">
        <v>42</v>
      </c>
      <c r="M673" t="s">
        <v>122</v>
      </c>
      <c r="N673" t="s">
        <v>122</v>
      </c>
    </row>
    <row r="674" spans="1:14" x14ac:dyDescent="0.25">
      <c r="A674" t="s">
        <v>50</v>
      </c>
      <c r="B674" s="5" t="s">
        <v>45</v>
      </c>
      <c r="C674" t="s">
        <v>121</v>
      </c>
      <c r="D674">
        <v>25</v>
      </c>
      <c r="E674">
        <f t="shared" si="20"/>
        <v>25</v>
      </c>
      <c r="F674" t="s">
        <v>42</v>
      </c>
      <c r="G674" t="s">
        <v>42</v>
      </c>
      <c r="H674" t="s">
        <v>42</v>
      </c>
      <c r="I674" t="s">
        <v>42</v>
      </c>
      <c r="J674" t="s">
        <v>42</v>
      </c>
      <c r="K674" t="s">
        <v>42</v>
      </c>
      <c r="L674" t="s">
        <v>42</v>
      </c>
      <c r="M674" t="s">
        <v>122</v>
      </c>
      <c r="N674" t="s">
        <v>122</v>
      </c>
    </row>
    <row r="675" spans="1:14" x14ac:dyDescent="0.25">
      <c r="A675" t="s">
        <v>50</v>
      </c>
      <c r="B675" s="5" t="s">
        <v>45</v>
      </c>
      <c r="C675" t="s">
        <v>123</v>
      </c>
      <c r="D675">
        <v>15.1</v>
      </c>
      <c r="E675">
        <f t="shared" si="20"/>
        <v>15.1</v>
      </c>
      <c r="F675" t="s">
        <v>42</v>
      </c>
      <c r="G675" t="s">
        <v>42</v>
      </c>
      <c r="H675" t="s">
        <v>42</v>
      </c>
      <c r="I675" t="s">
        <v>42</v>
      </c>
      <c r="J675" t="s">
        <v>42</v>
      </c>
      <c r="K675" t="s">
        <v>42</v>
      </c>
      <c r="L675" t="s">
        <v>42</v>
      </c>
      <c r="M675" t="s">
        <v>122</v>
      </c>
      <c r="N675" t="s">
        <v>122</v>
      </c>
    </row>
    <row r="676" spans="1:14" x14ac:dyDescent="0.25">
      <c r="A676" t="s">
        <v>50</v>
      </c>
      <c r="B676" s="5" t="s">
        <v>45</v>
      </c>
      <c r="C676" t="s">
        <v>123</v>
      </c>
      <c r="D676">
        <v>4.2</v>
      </c>
      <c r="E676">
        <f t="shared" si="20"/>
        <v>4.2</v>
      </c>
      <c r="F676" t="s">
        <v>42</v>
      </c>
      <c r="G676" t="s">
        <v>42</v>
      </c>
      <c r="H676" t="s">
        <v>42</v>
      </c>
      <c r="I676" t="s">
        <v>42</v>
      </c>
      <c r="J676" t="s">
        <v>42</v>
      </c>
      <c r="K676" t="s">
        <v>42</v>
      </c>
      <c r="L676" t="s">
        <v>42</v>
      </c>
      <c r="M676" t="s">
        <v>122</v>
      </c>
      <c r="N676" t="s">
        <v>122</v>
      </c>
    </row>
    <row r="677" spans="1:14" x14ac:dyDescent="0.25">
      <c r="A677" t="s">
        <v>50</v>
      </c>
      <c r="B677" s="5" t="s">
        <v>45</v>
      </c>
      <c r="C677" t="s">
        <v>123</v>
      </c>
      <c r="D677">
        <v>10.7</v>
      </c>
      <c r="E677">
        <f t="shared" si="20"/>
        <v>10.7</v>
      </c>
      <c r="F677" t="s">
        <v>42</v>
      </c>
      <c r="G677" t="s">
        <v>42</v>
      </c>
      <c r="H677" t="s">
        <v>42</v>
      </c>
      <c r="I677" t="s">
        <v>42</v>
      </c>
      <c r="J677" t="s">
        <v>42</v>
      </c>
      <c r="K677" t="s">
        <v>42</v>
      </c>
      <c r="L677" t="s">
        <v>42</v>
      </c>
      <c r="M677" t="s">
        <v>122</v>
      </c>
      <c r="N677" t="s">
        <v>122</v>
      </c>
    </row>
    <row r="678" spans="1:14" x14ac:dyDescent="0.25">
      <c r="A678" t="s">
        <v>50</v>
      </c>
      <c r="B678" s="5" t="s">
        <v>45</v>
      </c>
      <c r="C678" t="s">
        <v>121</v>
      </c>
      <c r="D678">
        <v>19.100000000000001</v>
      </c>
      <c r="E678">
        <f t="shared" si="20"/>
        <v>19.100000000000001</v>
      </c>
      <c r="F678" t="s">
        <v>42</v>
      </c>
      <c r="G678" t="s">
        <v>42</v>
      </c>
      <c r="H678" t="s">
        <v>42</v>
      </c>
      <c r="I678" t="s">
        <v>42</v>
      </c>
      <c r="J678" t="s">
        <v>42</v>
      </c>
      <c r="K678" t="s">
        <v>42</v>
      </c>
      <c r="L678" t="s">
        <v>42</v>
      </c>
      <c r="M678" t="s">
        <v>122</v>
      </c>
      <c r="N678" t="s">
        <v>122</v>
      </c>
    </row>
    <row r="679" spans="1:14" x14ac:dyDescent="0.25">
      <c r="A679" t="s">
        <v>50</v>
      </c>
      <c r="B679" s="5" t="s">
        <v>45</v>
      </c>
      <c r="C679" t="s">
        <v>121</v>
      </c>
      <c r="D679">
        <v>12.1</v>
      </c>
      <c r="E679">
        <f t="shared" si="20"/>
        <v>12.1</v>
      </c>
      <c r="F679" t="s">
        <v>42</v>
      </c>
      <c r="G679" t="s">
        <v>42</v>
      </c>
      <c r="H679" t="s">
        <v>42</v>
      </c>
      <c r="I679" t="s">
        <v>42</v>
      </c>
      <c r="J679" t="s">
        <v>42</v>
      </c>
      <c r="K679" t="s">
        <v>42</v>
      </c>
      <c r="L679" t="s">
        <v>42</v>
      </c>
      <c r="M679" t="s">
        <v>122</v>
      </c>
      <c r="N679" t="s">
        <v>122</v>
      </c>
    </row>
    <row r="680" spans="1:14" x14ac:dyDescent="0.25">
      <c r="A680" t="s">
        <v>50</v>
      </c>
      <c r="B680" s="5" t="s">
        <v>45</v>
      </c>
      <c r="C680" t="s">
        <v>121</v>
      </c>
      <c r="D680">
        <v>31.6</v>
      </c>
      <c r="E680">
        <f t="shared" si="20"/>
        <v>31.6</v>
      </c>
      <c r="F680" t="s">
        <v>42</v>
      </c>
      <c r="G680" t="s">
        <v>42</v>
      </c>
      <c r="H680" t="s">
        <v>42</v>
      </c>
      <c r="I680" t="s">
        <v>42</v>
      </c>
      <c r="J680" t="s">
        <v>42</v>
      </c>
      <c r="K680" t="s">
        <v>42</v>
      </c>
      <c r="L680" t="s">
        <v>42</v>
      </c>
      <c r="M680" t="s">
        <v>122</v>
      </c>
      <c r="N680" t="s">
        <v>122</v>
      </c>
    </row>
    <row r="681" spans="1:14" x14ac:dyDescent="0.25">
      <c r="A681" t="s">
        <v>50</v>
      </c>
      <c r="B681" s="5" t="s">
        <v>45</v>
      </c>
      <c r="C681" t="s">
        <v>123</v>
      </c>
      <c r="D681">
        <v>11.8</v>
      </c>
      <c r="E681">
        <f t="shared" si="20"/>
        <v>11.8</v>
      </c>
      <c r="F681" t="s">
        <v>42</v>
      </c>
      <c r="G681" t="s">
        <v>42</v>
      </c>
      <c r="H681" t="s">
        <v>42</v>
      </c>
      <c r="I681" t="s">
        <v>42</v>
      </c>
      <c r="J681" t="s">
        <v>42</v>
      </c>
      <c r="K681" t="s">
        <v>42</v>
      </c>
      <c r="L681" t="s">
        <v>42</v>
      </c>
      <c r="M681" t="s">
        <v>122</v>
      </c>
      <c r="N681" t="s">
        <v>122</v>
      </c>
    </row>
    <row r="682" spans="1:14" x14ac:dyDescent="0.25">
      <c r="A682" t="s">
        <v>50</v>
      </c>
      <c r="B682" s="5" t="s">
        <v>45</v>
      </c>
      <c r="C682" t="s">
        <v>123</v>
      </c>
      <c r="D682">
        <v>8.9</v>
      </c>
      <c r="E682">
        <f t="shared" si="20"/>
        <v>8.9</v>
      </c>
      <c r="F682" t="s">
        <v>42</v>
      </c>
      <c r="G682" t="s">
        <v>42</v>
      </c>
      <c r="H682" t="s">
        <v>42</v>
      </c>
      <c r="I682" t="s">
        <v>42</v>
      </c>
      <c r="J682" t="s">
        <v>42</v>
      </c>
      <c r="K682" t="s">
        <v>42</v>
      </c>
      <c r="L682" t="s">
        <v>42</v>
      </c>
      <c r="M682" t="s">
        <v>122</v>
      </c>
      <c r="N682" t="s">
        <v>122</v>
      </c>
    </row>
    <row r="683" spans="1:14" x14ac:dyDescent="0.25">
      <c r="A683" t="s">
        <v>50</v>
      </c>
      <c r="B683" s="5" t="s">
        <v>45</v>
      </c>
      <c r="C683" t="s">
        <v>121</v>
      </c>
      <c r="D683">
        <v>12.7</v>
      </c>
      <c r="E683">
        <f t="shared" si="20"/>
        <v>12.7</v>
      </c>
      <c r="F683" t="s">
        <v>42</v>
      </c>
      <c r="G683" t="s">
        <v>42</v>
      </c>
      <c r="H683" t="s">
        <v>42</v>
      </c>
      <c r="I683" t="s">
        <v>42</v>
      </c>
      <c r="J683" t="s">
        <v>42</v>
      </c>
      <c r="K683" t="s">
        <v>42</v>
      </c>
      <c r="L683" t="s">
        <v>42</v>
      </c>
      <c r="M683" t="s">
        <v>122</v>
      </c>
      <c r="N683" t="s">
        <v>122</v>
      </c>
    </row>
    <row r="684" spans="1:14" x14ac:dyDescent="0.25">
      <c r="A684" t="s">
        <v>50</v>
      </c>
      <c r="B684" s="5" t="s">
        <v>45</v>
      </c>
      <c r="C684" t="s">
        <v>121</v>
      </c>
      <c r="D684">
        <v>16.100000000000001</v>
      </c>
      <c r="E684">
        <f t="shared" si="20"/>
        <v>16.100000000000001</v>
      </c>
      <c r="F684" t="s">
        <v>42</v>
      </c>
      <c r="G684" t="s">
        <v>42</v>
      </c>
      <c r="H684" t="s">
        <v>42</v>
      </c>
      <c r="I684" t="s">
        <v>42</v>
      </c>
      <c r="J684" t="s">
        <v>42</v>
      </c>
      <c r="K684" t="s">
        <v>42</v>
      </c>
      <c r="L684" t="s">
        <v>42</v>
      </c>
      <c r="M684" t="s">
        <v>122</v>
      </c>
      <c r="N684" t="s">
        <v>122</v>
      </c>
    </row>
    <row r="685" spans="1:14" x14ac:dyDescent="0.25">
      <c r="A685" t="s">
        <v>50</v>
      </c>
      <c r="B685" s="5" t="s">
        <v>45</v>
      </c>
      <c r="C685" t="s">
        <v>121</v>
      </c>
      <c r="D685">
        <v>22.1</v>
      </c>
      <c r="E685">
        <f t="shared" si="20"/>
        <v>22.1</v>
      </c>
      <c r="F685" t="s">
        <v>42</v>
      </c>
      <c r="G685" t="s">
        <v>42</v>
      </c>
      <c r="H685" t="s">
        <v>42</v>
      </c>
      <c r="I685" t="s">
        <v>42</v>
      </c>
      <c r="J685" t="s">
        <v>42</v>
      </c>
      <c r="K685" t="s">
        <v>42</v>
      </c>
      <c r="L685" t="s">
        <v>42</v>
      </c>
      <c r="M685" t="s">
        <v>122</v>
      </c>
      <c r="N685" t="s">
        <v>122</v>
      </c>
    </row>
    <row r="686" spans="1:14" x14ac:dyDescent="0.25">
      <c r="A686" t="s">
        <v>50</v>
      </c>
      <c r="B686" s="5" t="s">
        <v>45</v>
      </c>
      <c r="C686" t="s">
        <v>123</v>
      </c>
      <c r="D686">
        <v>9.3000000000000007</v>
      </c>
      <c r="E686">
        <f t="shared" si="20"/>
        <v>9.3000000000000007</v>
      </c>
      <c r="F686" t="s">
        <v>42</v>
      </c>
      <c r="G686" t="s">
        <v>42</v>
      </c>
      <c r="H686" t="s">
        <v>42</v>
      </c>
      <c r="I686" t="s">
        <v>42</v>
      </c>
      <c r="J686" t="s">
        <v>42</v>
      </c>
      <c r="K686" t="s">
        <v>42</v>
      </c>
      <c r="L686" t="s">
        <v>42</v>
      </c>
      <c r="M686" t="s">
        <v>122</v>
      </c>
      <c r="N686" t="s">
        <v>122</v>
      </c>
    </row>
    <row r="687" spans="1:14" x14ac:dyDescent="0.25">
      <c r="A687" t="s">
        <v>50</v>
      </c>
      <c r="B687" s="5" t="s">
        <v>45</v>
      </c>
      <c r="C687" t="s">
        <v>123</v>
      </c>
      <c r="D687">
        <v>10.9</v>
      </c>
      <c r="E687">
        <f t="shared" si="20"/>
        <v>10.9</v>
      </c>
      <c r="F687" t="s">
        <v>42</v>
      </c>
      <c r="G687" t="s">
        <v>42</v>
      </c>
      <c r="H687" t="s">
        <v>42</v>
      </c>
      <c r="I687" t="s">
        <v>42</v>
      </c>
      <c r="J687" t="s">
        <v>42</v>
      </c>
      <c r="K687" t="s">
        <v>42</v>
      </c>
      <c r="L687" t="s">
        <v>42</v>
      </c>
      <c r="M687" t="s">
        <v>122</v>
      </c>
      <c r="N687" t="s">
        <v>122</v>
      </c>
    </row>
    <row r="688" spans="1:14" x14ac:dyDescent="0.25">
      <c r="A688" t="s">
        <v>50</v>
      </c>
      <c r="B688" s="5" t="s">
        <v>45</v>
      </c>
      <c r="C688" t="s">
        <v>123</v>
      </c>
      <c r="D688">
        <v>9.9</v>
      </c>
      <c r="E688">
        <f t="shared" si="20"/>
        <v>9.9</v>
      </c>
      <c r="F688" t="s">
        <v>42</v>
      </c>
      <c r="G688" t="s">
        <v>42</v>
      </c>
      <c r="H688" t="s">
        <v>42</v>
      </c>
      <c r="I688" t="s">
        <v>42</v>
      </c>
      <c r="J688" t="s">
        <v>42</v>
      </c>
      <c r="K688" t="s">
        <v>42</v>
      </c>
      <c r="L688" t="s">
        <v>42</v>
      </c>
      <c r="M688" t="s">
        <v>122</v>
      </c>
      <c r="N688" t="s">
        <v>122</v>
      </c>
    </row>
    <row r="689" spans="1:14" x14ac:dyDescent="0.25">
      <c r="A689" t="s">
        <v>50</v>
      </c>
      <c r="B689" s="5" t="s">
        <v>45</v>
      </c>
      <c r="C689" t="s">
        <v>121</v>
      </c>
      <c r="D689">
        <v>21.4</v>
      </c>
      <c r="E689">
        <f t="shared" si="20"/>
        <v>21.4</v>
      </c>
      <c r="F689" t="s">
        <v>42</v>
      </c>
      <c r="G689" t="s">
        <v>42</v>
      </c>
      <c r="H689" t="s">
        <v>42</v>
      </c>
      <c r="I689" t="s">
        <v>42</v>
      </c>
      <c r="J689" t="s">
        <v>42</v>
      </c>
      <c r="K689" t="s">
        <v>42</v>
      </c>
      <c r="L689" t="s">
        <v>42</v>
      </c>
      <c r="M689" t="s">
        <v>122</v>
      </c>
      <c r="N689" t="s">
        <v>122</v>
      </c>
    </row>
    <row r="690" spans="1:14" x14ac:dyDescent="0.25">
      <c r="A690" t="s">
        <v>50</v>
      </c>
      <c r="B690" s="5" t="s">
        <v>45</v>
      </c>
      <c r="C690" t="s">
        <v>121</v>
      </c>
      <c r="D690">
        <v>17.7</v>
      </c>
      <c r="E690">
        <f t="shared" si="20"/>
        <v>17.7</v>
      </c>
      <c r="F690" t="s">
        <v>42</v>
      </c>
      <c r="G690" t="s">
        <v>42</v>
      </c>
      <c r="H690" t="s">
        <v>42</v>
      </c>
      <c r="I690" t="s">
        <v>42</v>
      </c>
      <c r="J690" t="s">
        <v>42</v>
      </c>
      <c r="K690" t="s">
        <v>42</v>
      </c>
      <c r="L690" t="s">
        <v>42</v>
      </c>
      <c r="M690" t="s">
        <v>122</v>
      </c>
      <c r="N690" t="s">
        <v>122</v>
      </c>
    </row>
    <row r="691" spans="1:14" x14ac:dyDescent="0.25">
      <c r="A691" t="s">
        <v>50</v>
      </c>
      <c r="B691" s="5" t="s">
        <v>45</v>
      </c>
      <c r="C691" t="s">
        <v>121</v>
      </c>
      <c r="D691">
        <v>11.5</v>
      </c>
      <c r="E691">
        <f t="shared" si="20"/>
        <v>11.5</v>
      </c>
      <c r="F691" t="s">
        <v>42</v>
      </c>
      <c r="G691" t="s">
        <v>42</v>
      </c>
      <c r="H691" t="s">
        <v>42</v>
      </c>
      <c r="I691" t="s">
        <v>42</v>
      </c>
      <c r="J691" t="s">
        <v>42</v>
      </c>
      <c r="K691" t="s">
        <v>42</v>
      </c>
      <c r="L691" t="s">
        <v>42</v>
      </c>
      <c r="M691" t="s">
        <v>122</v>
      </c>
      <c r="N691" t="s">
        <v>122</v>
      </c>
    </row>
    <row r="692" spans="1:14" x14ac:dyDescent="0.25">
      <c r="A692" t="s">
        <v>50</v>
      </c>
      <c r="B692" s="5" t="s">
        <v>45</v>
      </c>
      <c r="C692" t="s">
        <v>121</v>
      </c>
      <c r="D692">
        <v>20.7</v>
      </c>
      <c r="E692">
        <f t="shared" si="20"/>
        <v>20.7</v>
      </c>
      <c r="F692" t="s">
        <v>42</v>
      </c>
      <c r="G692" t="s">
        <v>42</v>
      </c>
      <c r="H692" t="s">
        <v>42</v>
      </c>
      <c r="I692" t="s">
        <v>42</v>
      </c>
      <c r="J692" t="s">
        <v>42</v>
      </c>
      <c r="K692" t="s">
        <v>42</v>
      </c>
      <c r="L692" t="s">
        <v>42</v>
      </c>
      <c r="M692" t="s">
        <v>122</v>
      </c>
      <c r="N692" t="s">
        <v>122</v>
      </c>
    </row>
    <row r="693" spans="1:14" x14ac:dyDescent="0.25">
      <c r="A693" t="s">
        <v>50</v>
      </c>
      <c r="B693" s="5" t="s">
        <v>45</v>
      </c>
      <c r="C693" t="s">
        <v>121</v>
      </c>
      <c r="D693">
        <v>18.3</v>
      </c>
      <c r="E693">
        <f t="shared" si="20"/>
        <v>18.3</v>
      </c>
      <c r="F693" t="s">
        <v>42</v>
      </c>
      <c r="G693" t="s">
        <v>42</v>
      </c>
      <c r="H693" t="s">
        <v>42</v>
      </c>
      <c r="I693" t="s">
        <v>42</v>
      </c>
      <c r="J693" t="s">
        <v>42</v>
      </c>
      <c r="K693" t="s">
        <v>42</v>
      </c>
      <c r="L693" t="s">
        <v>42</v>
      </c>
      <c r="M693" t="s">
        <v>122</v>
      </c>
      <c r="N693" t="s">
        <v>122</v>
      </c>
    </row>
    <row r="694" spans="1:14" x14ac:dyDescent="0.25">
      <c r="A694" t="s">
        <v>50</v>
      </c>
      <c r="B694" s="5" t="s">
        <v>45</v>
      </c>
      <c r="C694" t="s">
        <v>121</v>
      </c>
      <c r="D694">
        <v>15</v>
      </c>
      <c r="E694">
        <f t="shared" si="20"/>
        <v>15</v>
      </c>
      <c r="F694" t="s">
        <v>42</v>
      </c>
      <c r="G694" t="s">
        <v>42</v>
      </c>
      <c r="H694" t="s">
        <v>42</v>
      </c>
      <c r="I694" t="s">
        <v>42</v>
      </c>
      <c r="J694" t="s">
        <v>42</v>
      </c>
      <c r="K694" t="s">
        <v>42</v>
      </c>
      <c r="L694" t="s">
        <v>42</v>
      </c>
      <c r="M694" t="s">
        <v>122</v>
      </c>
      <c r="N694" t="s">
        <v>122</v>
      </c>
    </row>
    <row r="695" spans="1:14" x14ac:dyDescent="0.25">
      <c r="A695" t="s">
        <v>50</v>
      </c>
      <c r="B695" s="5" t="s">
        <v>45</v>
      </c>
      <c r="C695" t="s">
        <v>123</v>
      </c>
      <c r="D695">
        <v>16.100000000000001</v>
      </c>
      <c r="E695">
        <f t="shared" si="20"/>
        <v>16.100000000000001</v>
      </c>
      <c r="F695" t="s">
        <v>42</v>
      </c>
      <c r="G695" t="s">
        <v>42</v>
      </c>
      <c r="H695" t="s">
        <v>42</v>
      </c>
      <c r="I695" t="s">
        <v>42</v>
      </c>
      <c r="J695" t="s">
        <v>42</v>
      </c>
      <c r="K695" t="s">
        <v>42</v>
      </c>
      <c r="L695" t="s">
        <v>42</v>
      </c>
      <c r="M695" t="s">
        <v>122</v>
      </c>
      <c r="N695" t="s">
        <v>122</v>
      </c>
    </row>
    <row r="696" spans="1:14" x14ac:dyDescent="0.25">
      <c r="A696" t="s">
        <v>50</v>
      </c>
      <c r="B696" s="5" t="s">
        <v>45</v>
      </c>
      <c r="C696" t="s">
        <v>121</v>
      </c>
      <c r="D696">
        <v>12.7</v>
      </c>
      <c r="E696">
        <f t="shared" si="20"/>
        <v>12.7</v>
      </c>
      <c r="F696" t="s">
        <v>42</v>
      </c>
      <c r="G696" t="s">
        <v>42</v>
      </c>
      <c r="H696" t="s">
        <v>42</v>
      </c>
      <c r="I696" t="s">
        <v>42</v>
      </c>
      <c r="J696" t="s">
        <v>42</v>
      </c>
      <c r="K696" t="s">
        <v>42</v>
      </c>
      <c r="L696" t="s">
        <v>42</v>
      </c>
      <c r="M696" t="s">
        <v>122</v>
      </c>
      <c r="N696" t="s">
        <v>122</v>
      </c>
    </row>
    <row r="697" spans="1:14" x14ac:dyDescent="0.25">
      <c r="A697" t="s">
        <v>50</v>
      </c>
      <c r="B697" s="5" t="s">
        <v>45</v>
      </c>
      <c r="C697" t="s">
        <v>121</v>
      </c>
      <c r="D697">
        <v>9.1999999999999993</v>
      </c>
      <c r="E697">
        <f t="shared" si="20"/>
        <v>9.1999999999999993</v>
      </c>
      <c r="F697" t="s">
        <v>42</v>
      </c>
      <c r="G697" t="s">
        <v>42</v>
      </c>
      <c r="H697" t="s">
        <v>42</v>
      </c>
      <c r="I697" t="s">
        <v>42</v>
      </c>
      <c r="J697" t="s">
        <v>42</v>
      </c>
      <c r="K697" t="s">
        <v>42</v>
      </c>
      <c r="L697" t="s">
        <v>42</v>
      </c>
      <c r="M697" t="s">
        <v>122</v>
      </c>
      <c r="N697" t="s">
        <v>122</v>
      </c>
    </row>
    <row r="698" spans="1:14" x14ac:dyDescent="0.25">
      <c r="A698" t="s">
        <v>50</v>
      </c>
      <c r="B698" s="5" t="s">
        <v>45</v>
      </c>
      <c r="C698" t="s">
        <v>121</v>
      </c>
      <c r="D698">
        <f>19.3+21.5</f>
        <v>40.799999999999997</v>
      </c>
      <c r="E698">
        <f t="shared" si="20"/>
        <v>40.799999999999997</v>
      </c>
      <c r="F698" t="s">
        <v>42</v>
      </c>
      <c r="G698" t="s">
        <v>42</v>
      </c>
      <c r="H698" t="s">
        <v>42</v>
      </c>
      <c r="I698" t="s">
        <v>42</v>
      </c>
      <c r="J698" t="s">
        <v>42</v>
      </c>
      <c r="K698" t="s">
        <v>42</v>
      </c>
      <c r="L698" t="s">
        <v>42</v>
      </c>
      <c r="M698" t="s">
        <v>122</v>
      </c>
      <c r="N698" t="s">
        <v>122</v>
      </c>
    </row>
    <row r="699" spans="1:14" x14ac:dyDescent="0.25">
      <c r="A699" t="s">
        <v>50</v>
      </c>
      <c r="B699" s="5" t="s">
        <v>45</v>
      </c>
      <c r="C699" t="s">
        <v>121</v>
      </c>
      <c r="D699">
        <v>21.2</v>
      </c>
      <c r="E699">
        <f t="shared" si="20"/>
        <v>21.2</v>
      </c>
      <c r="F699" t="s">
        <v>42</v>
      </c>
      <c r="G699" t="s">
        <v>42</v>
      </c>
      <c r="H699" t="s">
        <v>42</v>
      </c>
      <c r="I699" t="s">
        <v>42</v>
      </c>
      <c r="J699" t="s">
        <v>42</v>
      </c>
      <c r="K699" t="s">
        <v>42</v>
      </c>
      <c r="L699" t="s">
        <v>42</v>
      </c>
      <c r="M699" t="s">
        <v>122</v>
      </c>
      <c r="N699" t="s">
        <v>122</v>
      </c>
    </row>
    <row r="700" spans="1:14" x14ac:dyDescent="0.25">
      <c r="A700" t="s">
        <v>50</v>
      </c>
      <c r="B700" s="5" t="s">
        <v>45</v>
      </c>
      <c r="C700" t="s">
        <v>123</v>
      </c>
      <c r="D700">
        <v>8.1</v>
      </c>
      <c r="E700">
        <f t="shared" si="20"/>
        <v>8.1</v>
      </c>
      <c r="F700" t="s">
        <v>42</v>
      </c>
      <c r="G700" t="s">
        <v>42</v>
      </c>
      <c r="H700" t="s">
        <v>42</v>
      </c>
      <c r="I700" t="s">
        <v>42</v>
      </c>
      <c r="J700" t="s">
        <v>42</v>
      </c>
      <c r="K700" t="s">
        <v>42</v>
      </c>
      <c r="L700" t="s">
        <v>42</v>
      </c>
      <c r="M700" t="s">
        <v>122</v>
      </c>
      <c r="N700" t="s">
        <v>122</v>
      </c>
    </row>
    <row r="701" spans="1:14" x14ac:dyDescent="0.25">
      <c r="A701" t="s">
        <v>50</v>
      </c>
      <c r="B701" s="5" t="s">
        <v>45</v>
      </c>
      <c r="C701" t="s">
        <v>121</v>
      </c>
      <c r="D701">
        <v>22.9</v>
      </c>
      <c r="E701">
        <f t="shared" si="20"/>
        <v>22.9</v>
      </c>
      <c r="F701" t="s">
        <v>42</v>
      </c>
      <c r="G701" t="s">
        <v>42</v>
      </c>
      <c r="H701" t="s">
        <v>42</v>
      </c>
      <c r="I701" t="s">
        <v>42</v>
      </c>
      <c r="J701" t="s">
        <v>42</v>
      </c>
      <c r="K701" t="s">
        <v>42</v>
      </c>
      <c r="L701" t="s">
        <v>42</v>
      </c>
      <c r="M701" t="s">
        <v>122</v>
      </c>
      <c r="N701" t="s">
        <v>122</v>
      </c>
    </row>
    <row r="702" spans="1:14" x14ac:dyDescent="0.25">
      <c r="A702" t="s">
        <v>50</v>
      </c>
      <c r="B702" s="5" t="s">
        <v>45</v>
      </c>
      <c r="C702" t="s">
        <v>121</v>
      </c>
      <c r="D702">
        <v>9.1</v>
      </c>
      <c r="E702">
        <f t="shared" si="20"/>
        <v>9.1</v>
      </c>
      <c r="F702" t="s">
        <v>42</v>
      </c>
      <c r="G702" t="s">
        <v>42</v>
      </c>
      <c r="H702" t="s">
        <v>42</v>
      </c>
      <c r="I702" t="s">
        <v>42</v>
      </c>
      <c r="J702" t="s">
        <v>42</v>
      </c>
      <c r="K702" t="s">
        <v>42</v>
      </c>
      <c r="L702" t="s">
        <v>42</v>
      </c>
      <c r="M702" t="s">
        <v>122</v>
      </c>
      <c r="N702" t="s">
        <v>122</v>
      </c>
    </row>
    <row r="703" spans="1:14" x14ac:dyDescent="0.25">
      <c r="A703" t="s">
        <v>50</v>
      </c>
      <c r="B703" s="5" t="s">
        <v>45</v>
      </c>
      <c r="C703" t="s">
        <v>123</v>
      </c>
      <c r="D703">
        <v>10.6</v>
      </c>
      <c r="E703">
        <f t="shared" si="20"/>
        <v>10.6</v>
      </c>
      <c r="F703" t="s">
        <v>42</v>
      </c>
      <c r="G703" t="s">
        <v>42</v>
      </c>
      <c r="H703" t="s">
        <v>42</v>
      </c>
      <c r="I703" t="s">
        <v>42</v>
      </c>
      <c r="J703" t="s">
        <v>42</v>
      </c>
      <c r="K703" t="s">
        <v>42</v>
      </c>
      <c r="L703" t="s">
        <v>42</v>
      </c>
      <c r="M703" t="s">
        <v>122</v>
      </c>
      <c r="N703" t="s">
        <v>122</v>
      </c>
    </row>
    <row r="704" spans="1:14" x14ac:dyDescent="0.25">
      <c r="A704" t="s">
        <v>50</v>
      </c>
      <c r="B704" s="5" t="s">
        <v>45</v>
      </c>
      <c r="C704" t="s">
        <v>121</v>
      </c>
      <c r="D704">
        <v>18.2</v>
      </c>
      <c r="E704">
        <f t="shared" si="20"/>
        <v>18.2</v>
      </c>
      <c r="F704" t="s">
        <v>42</v>
      </c>
      <c r="G704" t="s">
        <v>42</v>
      </c>
      <c r="H704" t="s">
        <v>42</v>
      </c>
      <c r="I704" t="s">
        <v>42</v>
      </c>
      <c r="J704" t="s">
        <v>42</v>
      </c>
      <c r="K704" t="s">
        <v>42</v>
      </c>
      <c r="L704" t="s">
        <v>42</v>
      </c>
      <c r="M704" t="s">
        <v>122</v>
      </c>
      <c r="N704" t="s">
        <v>122</v>
      </c>
    </row>
    <row r="705" spans="1:14" x14ac:dyDescent="0.25">
      <c r="A705" t="s">
        <v>50</v>
      </c>
      <c r="B705" s="5" t="s">
        <v>45</v>
      </c>
      <c r="C705" t="s">
        <v>121</v>
      </c>
      <c r="D705">
        <v>25.8</v>
      </c>
      <c r="E705">
        <f t="shared" si="20"/>
        <v>25.8</v>
      </c>
      <c r="F705" t="s">
        <v>42</v>
      </c>
      <c r="G705" t="s">
        <v>42</v>
      </c>
      <c r="H705" t="s">
        <v>42</v>
      </c>
      <c r="I705" t="s">
        <v>42</v>
      </c>
      <c r="J705" t="s">
        <v>42</v>
      </c>
      <c r="K705" t="s">
        <v>42</v>
      </c>
      <c r="L705" t="s">
        <v>42</v>
      </c>
      <c r="M705" t="s">
        <v>122</v>
      </c>
      <c r="N705" t="s">
        <v>122</v>
      </c>
    </row>
    <row r="706" spans="1:14" x14ac:dyDescent="0.25">
      <c r="A706" t="s">
        <v>50</v>
      </c>
      <c r="B706" s="5" t="s">
        <v>45</v>
      </c>
      <c r="C706" t="s">
        <v>123</v>
      </c>
      <c r="D706">
        <v>17.100000000000001</v>
      </c>
      <c r="E706">
        <f t="shared" si="20"/>
        <v>17.100000000000001</v>
      </c>
      <c r="F706" t="s">
        <v>42</v>
      </c>
      <c r="G706" t="s">
        <v>42</v>
      </c>
      <c r="H706" t="s">
        <v>42</v>
      </c>
      <c r="I706" t="s">
        <v>42</v>
      </c>
      <c r="J706" t="s">
        <v>42</v>
      </c>
      <c r="K706" t="s">
        <v>42</v>
      </c>
      <c r="L706" t="s">
        <v>42</v>
      </c>
      <c r="M706" t="s">
        <v>122</v>
      </c>
      <c r="N706" t="s">
        <v>122</v>
      </c>
    </row>
    <row r="707" spans="1:14" x14ac:dyDescent="0.25">
      <c r="A707" t="s">
        <v>50</v>
      </c>
      <c r="B707" s="5" t="s">
        <v>45</v>
      </c>
      <c r="C707" t="s">
        <v>123</v>
      </c>
      <c r="D707">
        <v>12.4</v>
      </c>
      <c r="E707">
        <f t="shared" si="20"/>
        <v>12.4</v>
      </c>
      <c r="F707" t="s">
        <v>42</v>
      </c>
      <c r="G707" t="s">
        <v>42</v>
      </c>
      <c r="H707" t="s">
        <v>42</v>
      </c>
      <c r="I707" t="s">
        <v>42</v>
      </c>
      <c r="J707" t="s">
        <v>42</v>
      </c>
      <c r="K707" t="s">
        <v>42</v>
      </c>
      <c r="L707" t="s">
        <v>42</v>
      </c>
      <c r="M707" t="s">
        <v>122</v>
      </c>
      <c r="N707" t="s">
        <v>122</v>
      </c>
    </row>
    <row r="708" spans="1:14" x14ac:dyDescent="0.25">
      <c r="A708" t="s">
        <v>50</v>
      </c>
      <c r="B708" s="5" t="s">
        <v>45</v>
      </c>
      <c r="C708" t="s">
        <v>121</v>
      </c>
      <c r="D708">
        <v>17.399999999999999</v>
      </c>
      <c r="E708">
        <f t="shared" si="20"/>
        <v>17.399999999999999</v>
      </c>
      <c r="F708" t="s">
        <v>42</v>
      </c>
      <c r="G708" t="s">
        <v>42</v>
      </c>
      <c r="H708" t="s">
        <v>42</v>
      </c>
      <c r="I708" t="s">
        <v>42</v>
      </c>
      <c r="J708" t="s">
        <v>42</v>
      </c>
      <c r="K708" t="s">
        <v>42</v>
      </c>
      <c r="L708" t="s">
        <v>42</v>
      </c>
      <c r="M708" t="s">
        <v>122</v>
      </c>
      <c r="N708" t="s">
        <v>122</v>
      </c>
    </row>
    <row r="709" spans="1:14" x14ac:dyDescent="0.25">
      <c r="A709" t="s">
        <v>50</v>
      </c>
      <c r="B709" s="5" t="s">
        <v>45</v>
      </c>
      <c r="C709" t="s">
        <v>121</v>
      </c>
      <c r="D709">
        <v>14.4</v>
      </c>
      <c r="E709">
        <f t="shared" si="20"/>
        <v>14.4</v>
      </c>
      <c r="F709" t="s">
        <v>42</v>
      </c>
      <c r="G709" t="s">
        <v>42</v>
      </c>
      <c r="H709" t="s">
        <v>42</v>
      </c>
      <c r="I709" t="s">
        <v>42</v>
      </c>
      <c r="J709" t="s">
        <v>42</v>
      </c>
      <c r="K709" t="s">
        <v>42</v>
      </c>
      <c r="L709" t="s">
        <v>42</v>
      </c>
      <c r="M709" t="s">
        <v>122</v>
      </c>
      <c r="N709" t="s">
        <v>122</v>
      </c>
    </row>
    <row r="710" spans="1:14" x14ac:dyDescent="0.25">
      <c r="A710" t="s">
        <v>50</v>
      </c>
      <c r="B710" s="5" t="s">
        <v>45</v>
      </c>
      <c r="C710" t="s">
        <v>123</v>
      </c>
      <c r="D710">
        <v>16</v>
      </c>
      <c r="E710">
        <f t="shared" si="20"/>
        <v>16</v>
      </c>
      <c r="F710" t="s">
        <v>42</v>
      </c>
      <c r="G710" t="s">
        <v>42</v>
      </c>
      <c r="H710" t="s">
        <v>42</v>
      </c>
      <c r="I710" t="s">
        <v>42</v>
      </c>
      <c r="J710" t="s">
        <v>42</v>
      </c>
      <c r="K710" t="s">
        <v>42</v>
      </c>
      <c r="L710" t="s">
        <v>42</v>
      </c>
      <c r="M710" t="s">
        <v>122</v>
      </c>
      <c r="N710" t="s">
        <v>122</v>
      </c>
    </row>
    <row r="711" spans="1:14" x14ac:dyDescent="0.25">
      <c r="A711" t="s">
        <v>50</v>
      </c>
      <c r="B711" s="5" t="s">
        <v>45</v>
      </c>
      <c r="C711" t="s">
        <v>121</v>
      </c>
      <c r="D711">
        <v>25.6</v>
      </c>
      <c r="E711">
        <f t="shared" ref="E711:E774" si="21">D711</f>
        <v>25.6</v>
      </c>
      <c r="F711" t="s">
        <v>42</v>
      </c>
      <c r="G711" t="s">
        <v>42</v>
      </c>
      <c r="H711" t="s">
        <v>42</v>
      </c>
      <c r="I711" t="s">
        <v>42</v>
      </c>
      <c r="J711" t="s">
        <v>42</v>
      </c>
      <c r="K711" t="s">
        <v>42</v>
      </c>
      <c r="L711" t="s">
        <v>42</v>
      </c>
      <c r="M711" t="s">
        <v>122</v>
      </c>
      <c r="N711" t="s">
        <v>122</v>
      </c>
    </row>
    <row r="712" spans="1:14" x14ac:dyDescent="0.25">
      <c r="A712" t="s">
        <v>50</v>
      </c>
      <c r="B712" s="5" t="s">
        <v>45</v>
      </c>
      <c r="C712" t="s">
        <v>121</v>
      </c>
      <c r="D712">
        <v>22.1</v>
      </c>
      <c r="E712">
        <f t="shared" si="21"/>
        <v>22.1</v>
      </c>
      <c r="F712" t="s">
        <v>42</v>
      </c>
      <c r="G712" t="s">
        <v>42</v>
      </c>
      <c r="H712" t="s">
        <v>42</v>
      </c>
      <c r="I712" t="s">
        <v>42</v>
      </c>
      <c r="J712" t="s">
        <v>42</v>
      </c>
      <c r="K712" t="s">
        <v>42</v>
      </c>
      <c r="L712" t="s">
        <v>42</v>
      </c>
      <c r="M712" t="s">
        <v>122</v>
      </c>
      <c r="N712" t="s">
        <v>122</v>
      </c>
    </row>
    <row r="713" spans="1:14" x14ac:dyDescent="0.25">
      <c r="A713" t="s">
        <v>50</v>
      </c>
      <c r="B713" s="5" t="s">
        <v>45</v>
      </c>
      <c r="C713" t="s">
        <v>121</v>
      </c>
      <c r="D713">
        <v>25</v>
      </c>
      <c r="E713">
        <f t="shared" si="21"/>
        <v>25</v>
      </c>
      <c r="F713" t="s">
        <v>42</v>
      </c>
      <c r="G713" t="s">
        <v>42</v>
      </c>
      <c r="H713" t="s">
        <v>42</v>
      </c>
      <c r="I713" t="s">
        <v>42</v>
      </c>
      <c r="J713" t="s">
        <v>42</v>
      </c>
      <c r="K713" t="s">
        <v>42</v>
      </c>
      <c r="L713" t="s">
        <v>42</v>
      </c>
      <c r="M713" t="s">
        <v>122</v>
      </c>
      <c r="N713" t="s">
        <v>122</v>
      </c>
    </row>
    <row r="714" spans="1:14" x14ac:dyDescent="0.25">
      <c r="A714" t="s">
        <v>50</v>
      </c>
      <c r="B714" s="5" t="s">
        <v>45</v>
      </c>
      <c r="C714" t="s">
        <v>121</v>
      </c>
      <c r="D714">
        <v>14.2</v>
      </c>
      <c r="E714">
        <f t="shared" si="21"/>
        <v>14.2</v>
      </c>
      <c r="F714" t="s">
        <v>42</v>
      </c>
      <c r="G714" t="s">
        <v>42</v>
      </c>
      <c r="H714" t="s">
        <v>42</v>
      </c>
      <c r="I714" t="s">
        <v>42</v>
      </c>
      <c r="J714" t="s">
        <v>42</v>
      </c>
      <c r="K714" t="s">
        <v>42</v>
      </c>
      <c r="L714" t="s">
        <v>42</v>
      </c>
      <c r="M714" t="s">
        <v>122</v>
      </c>
      <c r="N714" t="s">
        <v>122</v>
      </c>
    </row>
    <row r="715" spans="1:14" x14ac:dyDescent="0.25">
      <c r="A715" t="s">
        <v>50</v>
      </c>
      <c r="B715" s="5" t="s">
        <v>45</v>
      </c>
      <c r="C715" t="s">
        <v>121</v>
      </c>
      <c r="D715">
        <v>31</v>
      </c>
      <c r="E715">
        <f t="shared" si="21"/>
        <v>31</v>
      </c>
      <c r="F715" t="s">
        <v>42</v>
      </c>
      <c r="G715" t="s">
        <v>42</v>
      </c>
      <c r="H715" t="s">
        <v>42</v>
      </c>
      <c r="I715" t="s">
        <v>42</v>
      </c>
      <c r="J715" t="s">
        <v>42</v>
      </c>
      <c r="K715" t="s">
        <v>42</v>
      </c>
      <c r="L715" t="s">
        <v>42</v>
      </c>
      <c r="M715" t="s">
        <v>122</v>
      </c>
      <c r="N715" t="s">
        <v>122</v>
      </c>
    </row>
    <row r="716" spans="1:14" x14ac:dyDescent="0.25">
      <c r="A716" t="s">
        <v>50</v>
      </c>
      <c r="B716" s="5" t="s">
        <v>45</v>
      </c>
      <c r="C716" t="s">
        <v>121</v>
      </c>
      <c r="D716">
        <v>27.1</v>
      </c>
      <c r="E716">
        <f t="shared" si="21"/>
        <v>27.1</v>
      </c>
      <c r="F716" t="s">
        <v>42</v>
      </c>
      <c r="G716" t="s">
        <v>42</v>
      </c>
      <c r="H716" t="s">
        <v>42</v>
      </c>
      <c r="I716" t="s">
        <v>42</v>
      </c>
      <c r="J716" t="s">
        <v>42</v>
      </c>
      <c r="K716" t="s">
        <v>42</v>
      </c>
      <c r="L716" t="s">
        <v>42</v>
      </c>
      <c r="M716" t="s">
        <v>122</v>
      </c>
      <c r="N716" t="s">
        <v>122</v>
      </c>
    </row>
    <row r="717" spans="1:14" x14ac:dyDescent="0.25">
      <c r="A717" t="s">
        <v>50</v>
      </c>
      <c r="B717" s="5" t="s">
        <v>45</v>
      </c>
      <c r="C717" t="s">
        <v>121</v>
      </c>
      <c r="D717">
        <v>11.1</v>
      </c>
      <c r="E717">
        <f t="shared" si="21"/>
        <v>11.1</v>
      </c>
      <c r="F717" t="s">
        <v>42</v>
      </c>
      <c r="G717" t="s">
        <v>42</v>
      </c>
      <c r="H717" t="s">
        <v>42</v>
      </c>
      <c r="I717" t="s">
        <v>42</v>
      </c>
      <c r="J717" t="s">
        <v>42</v>
      </c>
      <c r="K717" t="s">
        <v>42</v>
      </c>
      <c r="L717" t="s">
        <v>42</v>
      </c>
      <c r="M717" t="s">
        <v>122</v>
      </c>
      <c r="N717" t="s">
        <v>122</v>
      </c>
    </row>
    <row r="718" spans="1:14" x14ac:dyDescent="0.25">
      <c r="A718" t="s">
        <v>50</v>
      </c>
      <c r="B718" s="5" t="s">
        <v>45</v>
      </c>
      <c r="C718" t="s">
        <v>121</v>
      </c>
      <c r="D718">
        <v>26</v>
      </c>
      <c r="E718">
        <f t="shared" si="21"/>
        <v>26</v>
      </c>
      <c r="F718" t="s">
        <v>42</v>
      </c>
      <c r="G718" t="s">
        <v>42</v>
      </c>
      <c r="H718" t="s">
        <v>42</v>
      </c>
      <c r="I718" t="s">
        <v>42</v>
      </c>
      <c r="J718" t="s">
        <v>42</v>
      </c>
      <c r="K718" t="s">
        <v>42</v>
      </c>
      <c r="L718" t="s">
        <v>42</v>
      </c>
      <c r="M718" t="s">
        <v>122</v>
      </c>
      <c r="N718" t="s">
        <v>122</v>
      </c>
    </row>
    <row r="719" spans="1:14" x14ac:dyDescent="0.25">
      <c r="A719" t="s">
        <v>50</v>
      </c>
      <c r="B719" s="5" t="s">
        <v>45</v>
      </c>
      <c r="C719" t="s">
        <v>121</v>
      </c>
      <c r="D719">
        <v>38.1</v>
      </c>
      <c r="E719">
        <f t="shared" si="21"/>
        <v>38.1</v>
      </c>
      <c r="F719" t="s">
        <v>42</v>
      </c>
      <c r="G719" t="s">
        <v>42</v>
      </c>
      <c r="H719" t="s">
        <v>42</v>
      </c>
      <c r="I719" t="s">
        <v>42</v>
      </c>
      <c r="J719" t="s">
        <v>42</v>
      </c>
      <c r="K719" t="s">
        <v>42</v>
      </c>
      <c r="L719" t="s">
        <v>42</v>
      </c>
      <c r="M719" t="s">
        <v>122</v>
      </c>
      <c r="N719" t="s">
        <v>122</v>
      </c>
    </row>
    <row r="720" spans="1:14" x14ac:dyDescent="0.25">
      <c r="A720" t="s">
        <v>50</v>
      </c>
      <c r="B720" s="5" t="s">
        <v>45</v>
      </c>
      <c r="C720" t="s">
        <v>123</v>
      </c>
      <c r="D720">
        <v>7.9</v>
      </c>
      <c r="E720">
        <f t="shared" si="21"/>
        <v>7.9</v>
      </c>
      <c r="F720" t="s">
        <v>42</v>
      </c>
      <c r="G720" t="s">
        <v>42</v>
      </c>
      <c r="H720" t="s">
        <v>42</v>
      </c>
      <c r="I720" t="s">
        <v>42</v>
      </c>
      <c r="J720" t="s">
        <v>42</v>
      </c>
      <c r="K720" t="s">
        <v>42</v>
      </c>
      <c r="L720" t="s">
        <v>42</v>
      </c>
      <c r="M720" t="s">
        <v>122</v>
      </c>
      <c r="N720" t="s">
        <v>122</v>
      </c>
    </row>
    <row r="721" spans="1:14" x14ac:dyDescent="0.25">
      <c r="A721" t="s">
        <v>50</v>
      </c>
      <c r="B721" s="5" t="s">
        <v>45</v>
      </c>
      <c r="C721" t="s">
        <v>121</v>
      </c>
      <c r="D721">
        <v>11.8</v>
      </c>
      <c r="E721">
        <f t="shared" si="21"/>
        <v>11.8</v>
      </c>
      <c r="F721" t="s">
        <v>42</v>
      </c>
      <c r="G721" t="s">
        <v>42</v>
      </c>
      <c r="H721" t="s">
        <v>42</v>
      </c>
      <c r="I721" t="s">
        <v>42</v>
      </c>
      <c r="J721" t="s">
        <v>42</v>
      </c>
      <c r="K721" t="s">
        <v>42</v>
      </c>
      <c r="L721" t="s">
        <v>42</v>
      </c>
      <c r="M721" t="s">
        <v>122</v>
      </c>
      <c r="N721" t="s">
        <v>122</v>
      </c>
    </row>
    <row r="722" spans="1:14" x14ac:dyDescent="0.25">
      <c r="A722" t="s">
        <v>50</v>
      </c>
      <c r="B722" s="5" t="s">
        <v>45</v>
      </c>
      <c r="C722" t="s">
        <v>121</v>
      </c>
      <c r="D722">
        <v>21.7</v>
      </c>
      <c r="E722">
        <f t="shared" si="21"/>
        <v>21.7</v>
      </c>
      <c r="F722" t="s">
        <v>42</v>
      </c>
      <c r="G722" t="s">
        <v>42</v>
      </c>
      <c r="H722" t="s">
        <v>42</v>
      </c>
      <c r="I722" t="s">
        <v>42</v>
      </c>
      <c r="J722" t="s">
        <v>42</v>
      </c>
      <c r="K722" t="s">
        <v>42</v>
      </c>
      <c r="L722" t="s">
        <v>42</v>
      </c>
      <c r="M722" t="s">
        <v>122</v>
      </c>
      <c r="N722" t="s">
        <v>122</v>
      </c>
    </row>
    <row r="723" spans="1:14" x14ac:dyDescent="0.25">
      <c r="A723" t="s">
        <v>50</v>
      </c>
      <c r="B723" s="5" t="s">
        <v>45</v>
      </c>
      <c r="C723" t="s">
        <v>121</v>
      </c>
      <c r="D723">
        <v>20.3</v>
      </c>
      <c r="E723">
        <f t="shared" si="21"/>
        <v>20.3</v>
      </c>
      <c r="F723" t="s">
        <v>42</v>
      </c>
      <c r="G723" t="s">
        <v>42</v>
      </c>
      <c r="H723" t="s">
        <v>42</v>
      </c>
      <c r="I723" t="s">
        <v>42</v>
      </c>
      <c r="J723" t="s">
        <v>42</v>
      </c>
      <c r="K723" t="s">
        <v>42</v>
      </c>
      <c r="L723" t="s">
        <v>42</v>
      </c>
      <c r="M723" t="s">
        <v>122</v>
      </c>
      <c r="N723" t="s">
        <v>122</v>
      </c>
    </row>
    <row r="724" spans="1:14" x14ac:dyDescent="0.25">
      <c r="A724" t="s">
        <v>50</v>
      </c>
      <c r="B724" s="5" t="s">
        <v>45</v>
      </c>
      <c r="C724" t="s">
        <v>121</v>
      </c>
      <c r="D724">
        <v>30.3</v>
      </c>
      <c r="E724">
        <f t="shared" si="21"/>
        <v>30.3</v>
      </c>
      <c r="F724" t="s">
        <v>42</v>
      </c>
      <c r="G724" t="s">
        <v>42</v>
      </c>
      <c r="H724" t="s">
        <v>42</v>
      </c>
      <c r="I724" t="s">
        <v>42</v>
      </c>
      <c r="J724" t="s">
        <v>42</v>
      </c>
      <c r="K724" t="s">
        <v>42</v>
      </c>
      <c r="L724" t="s">
        <v>42</v>
      </c>
      <c r="M724" t="s">
        <v>122</v>
      </c>
      <c r="N724" t="s">
        <v>122</v>
      </c>
    </row>
    <row r="725" spans="1:14" x14ac:dyDescent="0.25">
      <c r="A725" t="s">
        <v>50</v>
      </c>
      <c r="B725" s="5" t="s">
        <v>45</v>
      </c>
      <c r="C725" t="s">
        <v>121</v>
      </c>
      <c r="D725">
        <v>19</v>
      </c>
      <c r="E725">
        <f t="shared" si="21"/>
        <v>19</v>
      </c>
      <c r="F725" t="s">
        <v>42</v>
      </c>
      <c r="G725" t="s">
        <v>42</v>
      </c>
      <c r="H725" t="s">
        <v>42</v>
      </c>
      <c r="I725" t="s">
        <v>42</v>
      </c>
      <c r="J725" t="s">
        <v>42</v>
      </c>
      <c r="K725" t="s">
        <v>42</v>
      </c>
      <c r="L725" t="s">
        <v>42</v>
      </c>
      <c r="M725" t="s">
        <v>122</v>
      </c>
      <c r="N725" t="s">
        <v>122</v>
      </c>
    </row>
    <row r="726" spans="1:14" x14ac:dyDescent="0.25">
      <c r="A726" t="s">
        <v>50</v>
      </c>
      <c r="B726" s="5" t="s">
        <v>45</v>
      </c>
      <c r="C726" t="s">
        <v>121</v>
      </c>
      <c r="D726">
        <v>23.4</v>
      </c>
      <c r="E726">
        <f t="shared" si="21"/>
        <v>23.4</v>
      </c>
      <c r="F726" t="s">
        <v>42</v>
      </c>
      <c r="G726" t="s">
        <v>42</v>
      </c>
      <c r="H726" t="s">
        <v>42</v>
      </c>
      <c r="I726" t="s">
        <v>42</v>
      </c>
      <c r="J726" t="s">
        <v>42</v>
      </c>
      <c r="K726" t="s">
        <v>42</v>
      </c>
      <c r="L726" t="s">
        <v>42</v>
      </c>
      <c r="M726" t="s">
        <v>122</v>
      </c>
      <c r="N726" t="s">
        <v>122</v>
      </c>
    </row>
    <row r="727" spans="1:14" x14ac:dyDescent="0.25">
      <c r="A727" t="s">
        <v>50</v>
      </c>
      <c r="B727" s="5" t="s">
        <v>45</v>
      </c>
      <c r="C727" t="s">
        <v>121</v>
      </c>
      <c r="D727">
        <v>22.2</v>
      </c>
      <c r="E727">
        <f t="shared" si="21"/>
        <v>22.2</v>
      </c>
      <c r="F727" t="s">
        <v>42</v>
      </c>
      <c r="G727" t="s">
        <v>42</v>
      </c>
      <c r="H727" t="s">
        <v>42</v>
      </c>
      <c r="I727" t="s">
        <v>42</v>
      </c>
      <c r="J727" t="s">
        <v>42</v>
      </c>
      <c r="K727" t="s">
        <v>42</v>
      </c>
      <c r="L727" t="s">
        <v>42</v>
      </c>
      <c r="M727" t="s">
        <v>122</v>
      </c>
      <c r="N727" t="s">
        <v>122</v>
      </c>
    </row>
    <row r="728" spans="1:14" x14ac:dyDescent="0.25">
      <c r="A728" t="s">
        <v>50</v>
      </c>
      <c r="B728" s="5" t="s">
        <v>45</v>
      </c>
      <c r="C728" t="s">
        <v>121</v>
      </c>
      <c r="D728">
        <v>7.6</v>
      </c>
      <c r="E728">
        <f t="shared" si="21"/>
        <v>7.6</v>
      </c>
      <c r="F728" t="s">
        <v>42</v>
      </c>
      <c r="G728" t="s">
        <v>42</v>
      </c>
      <c r="H728" t="s">
        <v>42</v>
      </c>
      <c r="I728" t="s">
        <v>42</v>
      </c>
      <c r="J728" t="s">
        <v>42</v>
      </c>
      <c r="K728" t="s">
        <v>42</v>
      </c>
      <c r="L728" t="s">
        <v>42</v>
      </c>
      <c r="M728" t="s">
        <v>122</v>
      </c>
      <c r="N728" t="s">
        <v>122</v>
      </c>
    </row>
    <row r="729" spans="1:14" x14ac:dyDescent="0.25">
      <c r="A729" t="s">
        <v>50</v>
      </c>
      <c r="B729" s="5" t="s">
        <v>45</v>
      </c>
      <c r="C729" t="s">
        <v>123</v>
      </c>
      <c r="D729">
        <v>16.8</v>
      </c>
      <c r="E729">
        <f t="shared" si="21"/>
        <v>16.8</v>
      </c>
      <c r="F729" t="s">
        <v>42</v>
      </c>
      <c r="G729" t="s">
        <v>42</v>
      </c>
      <c r="H729" t="s">
        <v>42</v>
      </c>
      <c r="I729" t="s">
        <v>42</v>
      </c>
      <c r="J729" t="s">
        <v>42</v>
      </c>
      <c r="K729" t="s">
        <v>42</v>
      </c>
      <c r="L729" t="s">
        <v>42</v>
      </c>
      <c r="M729" t="s">
        <v>122</v>
      </c>
      <c r="N729" t="s">
        <v>122</v>
      </c>
    </row>
    <row r="730" spans="1:14" x14ac:dyDescent="0.25">
      <c r="A730" t="s">
        <v>50</v>
      </c>
      <c r="B730" s="5" t="s">
        <v>45</v>
      </c>
      <c r="C730" t="s">
        <v>121</v>
      </c>
      <c r="D730">
        <v>15.8</v>
      </c>
      <c r="E730">
        <f t="shared" si="21"/>
        <v>15.8</v>
      </c>
      <c r="F730" t="s">
        <v>42</v>
      </c>
      <c r="G730" t="s">
        <v>42</v>
      </c>
      <c r="H730" t="s">
        <v>42</v>
      </c>
      <c r="I730" t="s">
        <v>42</v>
      </c>
      <c r="J730" t="s">
        <v>42</v>
      </c>
      <c r="K730" t="s">
        <v>42</v>
      </c>
      <c r="L730" t="s">
        <v>42</v>
      </c>
      <c r="M730" t="s">
        <v>122</v>
      </c>
      <c r="N730" t="s">
        <v>122</v>
      </c>
    </row>
    <row r="731" spans="1:14" x14ac:dyDescent="0.25">
      <c r="A731" t="s">
        <v>50</v>
      </c>
      <c r="B731" s="5" t="s">
        <v>45</v>
      </c>
      <c r="C731" t="s">
        <v>121</v>
      </c>
      <c r="D731">
        <v>17.5</v>
      </c>
      <c r="E731">
        <f t="shared" si="21"/>
        <v>17.5</v>
      </c>
      <c r="F731" t="s">
        <v>42</v>
      </c>
      <c r="G731" t="s">
        <v>42</v>
      </c>
      <c r="H731" t="s">
        <v>42</v>
      </c>
      <c r="I731" t="s">
        <v>42</v>
      </c>
      <c r="J731" t="s">
        <v>42</v>
      </c>
      <c r="K731" t="s">
        <v>42</v>
      </c>
      <c r="L731" t="s">
        <v>42</v>
      </c>
      <c r="M731" t="s">
        <v>122</v>
      </c>
      <c r="N731" t="s">
        <v>122</v>
      </c>
    </row>
    <row r="732" spans="1:14" x14ac:dyDescent="0.25">
      <c r="A732" t="s">
        <v>50</v>
      </c>
      <c r="B732" s="5" t="s">
        <v>45</v>
      </c>
      <c r="C732" t="s">
        <v>121</v>
      </c>
      <c r="D732">
        <v>23.6</v>
      </c>
      <c r="E732">
        <f t="shared" si="21"/>
        <v>23.6</v>
      </c>
      <c r="F732" t="s">
        <v>42</v>
      </c>
      <c r="G732" t="s">
        <v>42</v>
      </c>
      <c r="H732" t="s">
        <v>42</v>
      </c>
      <c r="I732" t="s">
        <v>42</v>
      </c>
      <c r="J732" t="s">
        <v>42</v>
      </c>
      <c r="K732" t="s">
        <v>42</v>
      </c>
      <c r="L732" t="s">
        <v>42</v>
      </c>
      <c r="M732" t="s">
        <v>122</v>
      </c>
      <c r="N732" t="s">
        <v>122</v>
      </c>
    </row>
    <row r="733" spans="1:14" x14ac:dyDescent="0.25">
      <c r="A733" t="s">
        <v>50</v>
      </c>
      <c r="B733" s="5" t="s">
        <v>45</v>
      </c>
      <c r="C733" t="s">
        <v>121</v>
      </c>
      <c r="D733">
        <v>9.9</v>
      </c>
      <c r="E733">
        <f t="shared" si="21"/>
        <v>9.9</v>
      </c>
      <c r="F733" t="s">
        <v>42</v>
      </c>
      <c r="G733" t="s">
        <v>42</v>
      </c>
      <c r="H733" t="s">
        <v>42</v>
      </c>
      <c r="I733" t="s">
        <v>42</v>
      </c>
      <c r="J733" t="s">
        <v>42</v>
      </c>
      <c r="K733" t="s">
        <v>42</v>
      </c>
      <c r="L733" t="s">
        <v>42</v>
      </c>
      <c r="M733" t="s">
        <v>122</v>
      </c>
      <c r="N733" t="s">
        <v>122</v>
      </c>
    </row>
    <row r="734" spans="1:14" x14ac:dyDescent="0.25">
      <c r="A734" t="s">
        <v>50</v>
      </c>
      <c r="B734" s="5" t="s">
        <v>45</v>
      </c>
      <c r="C734" t="s">
        <v>121</v>
      </c>
      <c r="D734">
        <v>15.8</v>
      </c>
      <c r="E734">
        <f t="shared" si="21"/>
        <v>15.8</v>
      </c>
      <c r="F734" t="s">
        <v>42</v>
      </c>
      <c r="G734" t="s">
        <v>42</v>
      </c>
      <c r="H734" t="s">
        <v>42</v>
      </c>
      <c r="I734" t="s">
        <v>42</v>
      </c>
      <c r="J734" t="s">
        <v>42</v>
      </c>
      <c r="K734" t="s">
        <v>42</v>
      </c>
      <c r="L734" t="s">
        <v>42</v>
      </c>
      <c r="M734" t="s">
        <v>122</v>
      </c>
      <c r="N734" t="s">
        <v>122</v>
      </c>
    </row>
    <row r="735" spans="1:14" x14ac:dyDescent="0.25">
      <c r="A735" t="s">
        <v>50</v>
      </c>
      <c r="B735" s="5" t="s">
        <v>45</v>
      </c>
      <c r="C735" t="s">
        <v>121</v>
      </c>
      <c r="D735">
        <v>26.1</v>
      </c>
      <c r="E735">
        <f t="shared" si="21"/>
        <v>26.1</v>
      </c>
      <c r="F735" t="s">
        <v>42</v>
      </c>
      <c r="G735" t="s">
        <v>42</v>
      </c>
      <c r="H735" t="s">
        <v>42</v>
      </c>
      <c r="I735" t="s">
        <v>42</v>
      </c>
      <c r="J735" t="s">
        <v>42</v>
      </c>
      <c r="K735" t="s">
        <v>42</v>
      </c>
      <c r="L735" t="s">
        <v>42</v>
      </c>
      <c r="M735" t="s">
        <v>122</v>
      </c>
      <c r="N735" t="s">
        <v>122</v>
      </c>
    </row>
    <row r="736" spans="1:14" x14ac:dyDescent="0.25">
      <c r="A736" t="s">
        <v>50</v>
      </c>
      <c r="B736" s="5" t="s">
        <v>45</v>
      </c>
      <c r="C736" t="s">
        <v>121</v>
      </c>
      <c r="D736">
        <v>23.3</v>
      </c>
      <c r="E736">
        <f t="shared" si="21"/>
        <v>23.3</v>
      </c>
      <c r="F736" t="s">
        <v>42</v>
      </c>
      <c r="G736" t="s">
        <v>42</v>
      </c>
      <c r="H736" t="s">
        <v>42</v>
      </c>
      <c r="I736" t="s">
        <v>42</v>
      </c>
      <c r="J736" t="s">
        <v>42</v>
      </c>
      <c r="K736" t="s">
        <v>42</v>
      </c>
      <c r="L736" t="s">
        <v>42</v>
      </c>
      <c r="M736" t="s">
        <v>122</v>
      </c>
      <c r="N736" t="s">
        <v>122</v>
      </c>
    </row>
    <row r="737" spans="1:14" x14ac:dyDescent="0.25">
      <c r="A737" t="s">
        <v>51</v>
      </c>
      <c r="B737" s="5" t="s">
        <v>45</v>
      </c>
      <c r="C737" t="s">
        <v>121</v>
      </c>
      <c r="D737">
        <v>33.6</v>
      </c>
      <c r="E737">
        <f t="shared" si="21"/>
        <v>33.6</v>
      </c>
      <c r="F737" t="s">
        <v>42</v>
      </c>
      <c r="G737" t="s">
        <v>42</v>
      </c>
      <c r="H737" t="s">
        <v>42</v>
      </c>
      <c r="I737" t="s">
        <v>42</v>
      </c>
      <c r="J737" t="s">
        <v>42</v>
      </c>
      <c r="K737" t="s">
        <v>42</v>
      </c>
      <c r="L737" t="s">
        <v>42</v>
      </c>
      <c r="M737" t="s">
        <v>122</v>
      </c>
      <c r="N737" t="s">
        <v>122</v>
      </c>
    </row>
    <row r="738" spans="1:14" x14ac:dyDescent="0.25">
      <c r="A738" t="s">
        <v>51</v>
      </c>
      <c r="B738" s="5" t="s">
        <v>45</v>
      </c>
      <c r="C738" t="s">
        <v>123</v>
      </c>
      <c r="D738">
        <v>31.6</v>
      </c>
      <c r="E738">
        <f t="shared" si="21"/>
        <v>31.6</v>
      </c>
      <c r="F738" t="s">
        <v>42</v>
      </c>
      <c r="G738" t="s">
        <v>42</v>
      </c>
      <c r="H738" t="s">
        <v>42</v>
      </c>
      <c r="I738" t="s">
        <v>42</v>
      </c>
      <c r="J738" t="s">
        <v>42</v>
      </c>
      <c r="K738" t="s">
        <v>42</v>
      </c>
      <c r="L738" t="s">
        <v>42</v>
      </c>
      <c r="M738" t="s">
        <v>122</v>
      </c>
      <c r="N738" t="s">
        <v>122</v>
      </c>
    </row>
    <row r="739" spans="1:14" x14ac:dyDescent="0.25">
      <c r="A739" t="s">
        <v>51</v>
      </c>
      <c r="B739" s="5" t="s">
        <v>45</v>
      </c>
      <c r="C739" t="s">
        <v>121</v>
      </c>
      <c r="D739">
        <v>29</v>
      </c>
      <c r="E739">
        <f t="shared" si="21"/>
        <v>29</v>
      </c>
      <c r="F739" t="s">
        <v>42</v>
      </c>
      <c r="G739" t="s">
        <v>42</v>
      </c>
      <c r="H739" t="s">
        <v>42</v>
      </c>
      <c r="I739" t="s">
        <v>42</v>
      </c>
      <c r="J739" t="s">
        <v>42</v>
      </c>
      <c r="K739" t="s">
        <v>42</v>
      </c>
      <c r="L739" t="s">
        <v>42</v>
      </c>
      <c r="M739" t="s">
        <v>122</v>
      </c>
      <c r="N739" t="s">
        <v>122</v>
      </c>
    </row>
    <row r="740" spans="1:14" x14ac:dyDescent="0.25">
      <c r="A740" t="s">
        <v>51</v>
      </c>
      <c r="B740" s="5" t="s">
        <v>45</v>
      </c>
      <c r="C740" t="s">
        <v>123</v>
      </c>
      <c r="D740">
        <v>26</v>
      </c>
      <c r="E740">
        <f t="shared" si="21"/>
        <v>26</v>
      </c>
      <c r="F740" t="s">
        <v>42</v>
      </c>
      <c r="G740" t="s">
        <v>42</v>
      </c>
      <c r="H740" t="s">
        <v>42</v>
      </c>
      <c r="I740" t="s">
        <v>42</v>
      </c>
      <c r="J740" t="s">
        <v>42</v>
      </c>
      <c r="K740" t="s">
        <v>42</v>
      </c>
      <c r="L740" t="s">
        <v>42</v>
      </c>
      <c r="M740" t="s">
        <v>122</v>
      </c>
      <c r="N740" t="s">
        <v>122</v>
      </c>
    </row>
    <row r="741" spans="1:14" x14ac:dyDescent="0.25">
      <c r="A741" t="s">
        <v>51</v>
      </c>
      <c r="B741" s="5" t="s">
        <v>45</v>
      </c>
      <c r="C741" t="s">
        <v>121</v>
      </c>
      <c r="D741">
        <v>36.1</v>
      </c>
      <c r="E741">
        <f t="shared" si="21"/>
        <v>36.1</v>
      </c>
      <c r="F741" t="s">
        <v>42</v>
      </c>
      <c r="G741" t="s">
        <v>42</v>
      </c>
      <c r="H741" t="s">
        <v>42</v>
      </c>
      <c r="I741" t="s">
        <v>42</v>
      </c>
      <c r="J741" t="s">
        <v>42</v>
      </c>
      <c r="K741" t="s">
        <v>42</v>
      </c>
      <c r="L741" t="s">
        <v>42</v>
      </c>
      <c r="M741" t="s">
        <v>122</v>
      </c>
      <c r="N741" t="s">
        <v>122</v>
      </c>
    </row>
    <row r="742" spans="1:14" x14ac:dyDescent="0.25">
      <c r="A742" t="s">
        <v>51</v>
      </c>
      <c r="B742" s="5" t="s">
        <v>45</v>
      </c>
      <c r="C742" t="s">
        <v>121</v>
      </c>
      <c r="D742">
        <v>22.9</v>
      </c>
      <c r="E742">
        <f t="shared" si="21"/>
        <v>22.9</v>
      </c>
      <c r="F742" t="s">
        <v>42</v>
      </c>
      <c r="G742" t="s">
        <v>42</v>
      </c>
      <c r="H742" t="s">
        <v>42</v>
      </c>
      <c r="I742" t="s">
        <v>42</v>
      </c>
      <c r="J742" t="s">
        <v>42</v>
      </c>
      <c r="K742" t="s">
        <v>42</v>
      </c>
      <c r="L742" t="s">
        <v>42</v>
      </c>
      <c r="M742" t="s">
        <v>122</v>
      </c>
      <c r="N742" t="s">
        <v>122</v>
      </c>
    </row>
    <row r="743" spans="1:14" x14ac:dyDescent="0.25">
      <c r="A743" t="s">
        <v>51</v>
      </c>
      <c r="B743" s="5" t="s">
        <v>45</v>
      </c>
      <c r="C743" t="s">
        <v>121</v>
      </c>
      <c r="D743">
        <v>28</v>
      </c>
      <c r="E743">
        <f t="shared" si="21"/>
        <v>28</v>
      </c>
      <c r="F743" t="s">
        <v>42</v>
      </c>
      <c r="G743" t="s">
        <v>42</v>
      </c>
      <c r="H743" t="s">
        <v>42</v>
      </c>
      <c r="I743" t="s">
        <v>42</v>
      </c>
      <c r="J743" t="s">
        <v>42</v>
      </c>
      <c r="K743" t="s">
        <v>42</v>
      </c>
      <c r="L743" t="s">
        <v>42</v>
      </c>
      <c r="M743" t="s">
        <v>122</v>
      </c>
      <c r="N743" t="s">
        <v>122</v>
      </c>
    </row>
    <row r="744" spans="1:14" x14ac:dyDescent="0.25">
      <c r="A744" t="s">
        <v>51</v>
      </c>
      <c r="B744" s="5" t="s">
        <v>45</v>
      </c>
      <c r="C744" t="s">
        <v>121</v>
      </c>
      <c r="D744">
        <v>33.4</v>
      </c>
      <c r="E744">
        <f t="shared" si="21"/>
        <v>33.4</v>
      </c>
      <c r="F744" t="s">
        <v>42</v>
      </c>
      <c r="G744" t="s">
        <v>42</v>
      </c>
      <c r="H744" t="s">
        <v>42</v>
      </c>
      <c r="I744" t="s">
        <v>42</v>
      </c>
      <c r="J744" t="s">
        <v>42</v>
      </c>
      <c r="K744" t="s">
        <v>42</v>
      </c>
      <c r="L744" t="s">
        <v>42</v>
      </c>
      <c r="M744" t="s">
        <v>122</v>
      </c>
      <c r="N744" t="s">
        <v>122</v>
      </c>
    </row>
    <row r="745" spans="1:14" x14ac:dyDescent="0.25">
      <c r="A745" t="s">
        <v>51</v>
      </c>
      <c r="B745" s="5" t="s">
        <v>45</v>
      </c>
      <c r="C745" t="s">
        <v>123</v>
      </c>
      <c r="D745">
        <v>13.8</v>
      </c>
      <c r="E745">
        <f t="shared" si="21"/>
        <v>13.8</v>
      </c>
      <c r="F745" t="s">
        <v>42</v>
      </c>
      <c r="G745" t="s">
        <v>42</v>
      </c>
      <c r="H745" t="s">
        <v>42</v>
      </c>
      <c r="I745" t="s">
        <v>42</v>
      </c>
      <c r="J745" t="s">
        <v>42</v>
      </c>
      <c r="K745" t="s">
        <v>42</v>
      </c>
      <c r="L745" t="s">
        <v>42</v>
      </c>
      <c r="M745" t="s">
        <v>122</v>
      </c>
      <c r="N745" t="s">
        <v>122</v>
      </c>
    </row>
    <row r="746" spans="1:14" x14ac:dyDescent="0.25">
      <c r="A746" t="s">
        <v>51</v>
      </c>
      <c r="B746" s="5" t="s">
        <v>45</v>
      </c>
      <c r="C746" t="s">
        <v>123</v>
      </c>
      <c r="D746">
        <v>27.4</v>
      </c>
      <c r="E746">
        <f t="shared" si="21"/>
        <v>27.4</v>
      </c>
      <c r="F746" t="s">
        <v>42</v>
      </c>
      <c r="G746" t="s">
        <v>42</v>
      </c>
      <c r="H746" t="s">
        <v>42</v>
      </c>
      <c r="I746" t="s">
        <v>42</v>
      </c>
      <c r="J746" t="s">
        <v>42</v>
      </c>
      <c r="K746" t="s">
        <v>42</v>
      </c>
      <c r="L746" t="s">
        <v>42</v>
      </c>
      <c r="M746" t="s">
        <v>122</v>
      </c>
      <c r="N746" t="s">
        <v>122</v>
      </c>
    </row>
    <row r="747" spans="1:14" x14ac:dyDescent="0.25">
      <c r="A747" t="s">
        <v>51</v>
      </c>
      <c r="B747" s="5" t="s">
        <v>45</v>
      </c>
      <c r="C747" t="s">
        <v>123</v>
      </c>
      <c r="D747">
        <v>12.4</v>
      </c>
      <c r="E747">
        <f t="shared" si="21"/>
        <v>12.4</v>
      </c>
      <c r="F747" t="s">
        <v>42</v>
      </c>
      <c r="G747" t="s">
        <v>42</v>
      </c>
      <c r="H747" t="s">
        <v>42</v>
      </c>
      <c r="I747" t="s">
        <v>42</v>
      </c>
      <c r="J747" t="s">
        <v>42</v>
      </c>
      <c r="K747" t="s">
        <v>42</v>
      </c>
      <c r="L747" t="s">
        <v>42</v>
      </c>
      <c r="M747" t="s">
        <v>122</v>
      </c>
      <c r="N747" t="s">
        <v>122</v>
      </c>
    </row>
    <row r="748" spans="1:14" x14ac:dyDescent="0.25">
      <c r="A748" t="s">
        <v>51</v>
      </c>
      <c r="B748" s="5" t="s">
        <v>45</v>
      </c>
      <c r="C748" t="s">
        <v>123</v>
      </c>
      <c r="D748">
        <v>32</v>
      </c>
      <c r="E748">
        <f t="shared" si="21"/>
        <v>32</v>
      </c>
      <c r="F748" t="s">
        <v>42</v>
      </c>
      <c r="G748" t="s">
        <v>42</v>
      </c>
      <c r="H748" t="s">
        <v>42</v>
      </c>
      <c r="I748" t="s">
        <v>42</v>
      </c>
      <c r="J748" t="s">
        <v>42</v>
      </c>
      <c r="K748" t="s">
        <v>42</v>
      </c>
      <c r="L748" t="s">
        <v>42</v>
      </c>
      <c r="M748" t="s">
        <v>122</v>
      </c>
      <c r="N748" t="s">
        <v>122</v>
      </c>
    </row>
    <row r="749" spans="1:14" x14ac:dyDescent="0.25">
      <c r="A749" t="s">
        <v>51</v>
      </c>
      <c r="B749" s="5" t="s">
        <v>45</v>
      </c>
      <c r="C749" t="s">
        <v>121</v>
      </c>
      <c r="D749">
        <v>31.7</v>
      </c>
      <c r="E749">
        <f t="shared" si="21"/>
        <v>31.7</v>
      </c>
      <c r="F749" t="s">
        <v>42</v>
      </c>
      <c r="G749" t="s">
        <v>42</v>
      </c>
      <c r="H749" t="s">
        <v>42</v>
      </c>
      <c r="I749" t="s">
        <v>42</v>
      </c>
      <c r="J749" t="s">
        <v>42</v>
      </c>
      <c r="K749" t="s">
        <v>42</v>
      </c>
      <c r="L749" t="s">
        <v>42</v>
      </c>
      <c r="M749" t="s">
        <v>122</v>
      </c>
      <c r="N749" t="s">
        <v>122</v>
      </c>
    </row>
    <row r="750" spans="1:14" x14ac:dyDescent="0.25">
      <c r="A750" t="s">
        <v>51</v>
      </c>
      <c r="B750" s="5" t="s">
        <v>45</v>
      </c>
      <c r="C750" t="s">
        <v>121</v>
      </c>
      <c r="D750">
        <v>21.9</v>
      </c>
      <c r="E750">
        <f t="shared" si="21"/>
        <v>21.9</v>
      </c>
      <c r="F750" t="s">
        <v>42</v>
      </c>
      <c r="G750" t="s">
        <v>42</v>
      </c>
      <c r="H750" t="s">
        <v>42</v>
      </c>
      <c r="I750" t="s">
        <v>42</v>
      </c>
      <c r="J750" t="s">
        <v>42</v>
      </c>
      <c r="K750" t="s">
        <v>42</v>
      </c>
      <c r="L750" t="s">
        <v>42</v>
      </c>
      <c r="M750" t="s">
        <v>122</v>
      </c>
      <c r="N750" t="s">
        <v>122</v>
      </c>
    </row>
    <row r="751" spans="1:14" x14ac:dyDescent="0.25">
      <c r="A751" t="s">
        <v>51</v>
      </c>
      <c r="B751" s="5" t="s">
        <v>45</v>
      </c>
      <c r="C751" t="s">
        <v>121</v>
      </c>
      <c r="D751">
        <v>22.9</v>
      </c>
      <c r="E751">
        <f t="shared" si="21"/>
        <v>22.9</v>
      </c>
      <c r="F751" t="s">
        <v>42</v>
      </c>
      <c r="G751" t="s">
        <v>42</v>
      </c>
      <c r="H751" t="s">
        <v>42</v>
      </c>
      <c r="I751" t="s">
        <v>42</v>
      </c>
      <c r="J751" t="s">
        <v>42</v>
      </c>
      <c r="K751" t="s">
        <v>42</v>
      </c>
      <c r="L751" t="s">
        <v>42</v>
      </c>
      <c r="M751" t="s">
        <v>122</v>
      </c>
      <c r="N751" t="s">
        <v>122</v>
      </c>
    </row>
    <row r="752" spans="1:14" x14ac:dyDescent="0.25">
      <c r="A752" t="s">
        <v>51</v>
      </c>
      <c r="B752" s="5" t="s">
        <v>45</v>
      </c>
      <c r="C752" t="s">
        <v>121</v>
      </c>
      <c r="D752">
        <v>33.1</v>
      </c>
      <c r="E752">
        <f t="shared" si="21"/>
        <v>33.1</v>
      </c>
      <c r="F752" t="s">
        <v>42</v>
      </c>
      <c r="G752" t="s">
        <v>42</v>
      </c>
      <c r="H752" t="s">
        <v>42</v>
      </c>
      <c r="I752" t="s">
        <v>42</v>
      </c>
      <c r="J752" t="s">
        <v>42</v>
      </c>
      <c r="K752" t="s">
        <v>42</v>
      </c>
      <c r="L752" t="s">
        <v>42</v>
      </c>
      <c r="M752" t="s">
        <v>122</v>
      </c>
      <c r="N752" t="s">
        <v>122</v>
      </c>
    </row>
    <row r="753" spans="1:14" x14ac:dyDescent="0.25">
      <c r="A753" t="s">
        <v>51</v>
      </c>
      <c r="B753" s="5" t="s">
        <v>45</v>
      </c>
      <c r="C753" t="s">
        <v>121</v>
      </c>
      <c r="D753">
        <v>26.3</v>
      </c>
      <c r="E753">
        <f t="shared" si="21"/>
        <v>26.3</v>
      </c>
      <c r="F753" t="s">
        <v>42</v>
      </c>
      <c r="G753" t="s">
        <v>42</v>
      </c>
      <c r="H753" t="s">
        <v>42</v>
      </c>
      <c r="I753" t="s">
        <v>42</v>
      </c>
      <c r="J753" t="s">
        <v>42</v>
      </c>
      <c r="K753" t="s">
        <v>42</v>
      </c>
      <c r="L753" t="s">
        <v>42</v>
      </c>
      <c r="M753" t="s">
        <v>122</v>
      </c>
      <c r="N753" t="s">
        <v>122</v>
      </c>
    </row>
    <row r="754" spans="1:14" x14ac:dyDescent="0.25">
      <c r="A754" t="s">
        <v>51</v>
      </c>
      <c r="B754" s="5" t="s">
        <v>45</v>
      </c>
      <c r="C754" t="s">
        <v>123</v>
      </c>
      <c r="D754">
        <v>13.2</v>
      </c>
      <c r="E754">
        <f t="shared" si="21"/>
        <v>13.2</v>
      </c>
      <c r="F754" t="s">
        <v>42</v>
      </c>
      <c r="G754" t="s">
        <v>42</v>
      </c>
      <c r="H754" t="s">
        <v>42</v>
      </c>
      <c r="I754" t="s">
        <v>42</v>
      </c>
      <c r="J754" t="s">
        <v>42</v>
      </c>
      <c r="K754" t="s">
        <v>42</v>
      </c>
      <c r="L754" t="s">
        <v>42</v>
      </c>
      <c r="M754" t="s">
        <v>122</v>
      </c>
      <c r="N754" t="s">
        <v>122</v>
      </c>
    </row>
    <row r="755" spans="1:14" x14ac:dyDescent="0.25">
      <c r="A755" t="s">
        <v>51</v>
      </c>
      <c r="B755" s="5" t="s">
        <v>45</v>
      </c>
      <c r="C755" t="s">
        <v>121</v>
      </c>
      <c r="D755">
        <v>26.2</v>
      </c>
      <c r="E755">
        <f t="shared" si="21"/>
        <v>26.2</v>
      </c>
      <c r="F755" t="s">
        <v>42</v>
      </c>
      <c r="G755" t="s">
        <v>42</v>
      </c>
      <c r="H755" t="s">
        <v>42</v>
      </c>
      <c r="I755" t="s">
        <v>42</v>
      </c>
      <c r="J755" t="s">
        <v>42</v>
      </c>
      <c r="K755" t="s">
        <v>42</v>
      </c>
      <c r="L755" t="s">
        <v>42</v>
      </c>
      <c r="M755" t="s">
        <v>122</v>
      </c>
      <c r="N755" t="s">
        <v>122</v>
      </c>
    </row>
    <row r="756" spans="1:14" x14ac:dyDescent="0.25">
      <c r="A756" t="s">
        <v>51</v>
      </c>
      <c r="B756" s="5" t="s">
        <v>45</v>
      </c>
      <c r="C756" t="s">
        <v>121</v>
      </c>
      <c r="D756">
        <v>31.7</v>
      </c>
      <c r="E756">
        <f t="shared" si="21"/>
        <v>31.7</v>
      </c>
      <c r="F756" t="s">
        <v>42</v>
      </c>
      <c r="G756" t="s">
        <v>42</v>
      </c>
      <c r="H756" t="s">
        <v>42</v>
      </c>
      <c r="I756" t="s">
        <v>42</v>
      </c>
      <c r="J756" t="s">
        <v>42</v>
      </c>
      <c r="K756" t="s">
        <v>42</v>
      </c>
      <c r="L756" t="s">
        <v>42</v>
      </c>
      <c r="M756" t="s">
        <v>122</v>
      </c>
      <c r="N756" t="s">
        <v>122</v>
      </c>
    </row>
    <row r="757" spans="1:14" x14ac:dyDescent="0.25">
      <c r="A757" t="s">
        <v>51</v>
      </c>
      <c r="B757" s="5" t="s">
        <v>45</v>
      </c>
      <c r="C757" t="s">
        <v>121</v>
      </c>
      <c r="D757">
        <v>32.1</v>
      </c>
      <c r="E757">
        <f t="shared" si="21"/>
        <v>32.1</v>
      </c>
      <c r="F757" t="s">
        <v>42</v>
      </c>
      <c r="G757" t="s">
        <v>42</v>
      </c>
      <c r="H757" t="s">
        <v>42</v>
      </c>
      <c r="I757" t="s">
        <v>42</v>
      </c>
      <c r="J757" t="s">
        <v>42</v>
      </c>
      <c r="K757" t="s">
        <v>42</v>
      </c>
      <c r="L757" t="s">
        <v>42</v>
      </c>
      <c r="M757" t="s">
        <v>122</v>
      </c>
      <c r="N757" t="s">
        <v>122</v>
      </c>
    </row>
    <row r="758" spans="1:14" x14ac:dyDescent="0.25">
      <c r="A758" t="s">
        <v>51</v>
      </c>
      <c r="B758" s="5" t="s">
        <v>45</v>
      </c>
      <c r="C758" t="s">
        <v>121</v>
      </c>
      <c r="D758">
        <v>32.799999999999997</v>
      </c>
      <c r="E758">
        <f t="shared" si="21"/>
        <v>32.799999999999997</v>
      </c>
      <c r="F758" t="s">
        <v>42</v>
      </c>
      <c r="G758" t="s">
        <v>42</v>
      </c>
      <c r="H758" t="s">
        <v>42</v>
      </c>
      <c r="I758" t="s">
        <v>42</v>
      </c>
      <c r="J758" t="s">
        <v>42</v>
      </c>
      <c r="K758" t="s">
        <v>42</v>
      </c>
      <c r="L758" t="s">
        <v>42</v>
      </c>
      <c r="M758" t="s">
        <v>122</v>
      </c>
      <c r="N758" t="s">
        <v>122</v>
      </c>
    </row>
    <row r="759" spans="1:14" x14ac:dyDescent="0.25">
      <c r="A759" t="s">
        <v>51</v>
      </c>
      <c r="B759" s="5" t="s">
        <v>45</v>
      </c>
      <c r="C759" t="s">
        <v>121</v>
      </c>
      <c r="D759">
        <v>27.5</v>
      </c>
      <c r="E759">
        <f t="shared" si="21"/>
        <v>27.5</v>
      </c>
      <c r="F759" t="s">
        <v>42</v>
      </c>
      <c r="G759" t="s">
        <v>42</v>
      </c>
      <c r="H759" t="s">
        <v>42</v>
      </c>
      <c r="I759" t="s">
        <v>42</v>
      </c>
      <c r="J759" t="s">
        <v>42</v>
      </c>
      <c r="K759" t="s">
        <v>42</v>
      </c>
      <c r="L759" t="s">
        <v>42</v>
      </c>
      <c r="M759" t="s">
        <v>122</v>
      </c>
      <c r="N759" t="s">
        <v>122</v>
      </c>
    </row>
    <row r="760" spans="1:14" x14ac:dyDescent="0.25">
      <c r="A760" t="s">
        <v>51</v>
      </c>
      <c r="B760" s="5" t="s">
        <v>45</v>
      </c>
      <c r="C760" t="s">
        <v>121</v>
      </c>
      <c r="D760">
        <v>27.7</v>
      </c>
      <c r="E760">
        <f t="shared" si="21"/>
        <v>27.7</v>
      </c>
      <c r="F760" t="s">
        <v>42</v>
      </c>
      <c r="G760" t="s">
        <v>42</v>
      </c>
      <c r="H760" t="s">
        <v>42</v>
      </c>
      <c r="I760" t="s">
        <v>42</v>
      </c>
      <c r="J760" t="s">
        <v>42</v>
      </c>
      <c r="K760" t="s">
        <v>42</v>
      </c>
      <c r="L760" t="s">
        <v>42</v>
      </c>
      <c r="M760" t="s">
        <v>122</v>
      </c>
      <c r="N760" t="s">
        <v>122</v>
      </c>
    </row>
    <row r="761" spans="1:14" x14ac:dyDescent="0.25">
      <c r="A761" t="s">
        <v>51</v>
      </c>
      <c r="B761" s="5" t="s">
        <v>45</v>
      </c>
      <c r="C761" t="s">
        <v>123</v>
      </c>
      <c r="D761">
        <v>18.3</v>
      </c>
      <c r="E761">
        <f t="shared" si="21"/>
        <v>18.3</v>
      </c>
      <c r="F761" t="s">
        <v>42</v>
      </c>
      <c r="G761" t="s">
        <v>42</v>
      </c>
      <c r="H761" t="s">
        <v>42</v>
      </c>
      <c r="I761" t="s">
        <v>42</v>
      </c>
      <c r="J761" t="s">
        <v>42</v>
      </c>
      <c r="K761" t="s">
        <v>42</v>
      </c>
      <c r="L761" t="s">
        <v>42</v>
      </c>
      <c r="M761" t="s">
        <v>122</v>
      </c>
      <c r="N761" t="s">
        <v>122</v>
      </c>
    </row>
    <row r="762" spans="1:14" x14ac:dyDescent="0.25">
      <c r="A762" t="s">
        <v>51</v>
      </c>
      <c r="B762" s="5" t="s">
        <v>45</v>
      </c>
      <c r="C762" t="s">
        <v>121</v>
      </c>
      <c r="D762">
        <v>45.4</v>
      </c>
      <c r="E762">
        <f t="shared" si="21"/>
        <v>45.4</v>
      </c>
      <c r="F762" t="s">
        <v>42</v>
      </c>
      <c r="G762" t="s">
        <v>42</v>
      </c>
      <c r="H762" t="s">
        <v>42</v>
      </c>
      <c r="I762" t="s">
        <v>42</v>
      </c>
      <c r="J762" t="s">
        <v>42</v>
      </c>
      <c r="K762" t="s">
        <v>42</v>
      </c>
      <c r="L762" t="s">
        <v>42</v>
      </c>
      <c r="M762" t="s">
        <v>122</v>
      </c>
      <c r="N762" t="s">
        <v>122</v>
      </c>
    </row>
    <row r="763" spans="1:14" x14ac:dyDescent="0.25">
      <c r="A763" t="s">
        <v>51</v>
      </c>
      <c r="B763" s="5" t="s">
        <v>45</v>
      </c>
      <c r="C763" t="s">
        <v>123</v>
      </c>
      <c r="D763">
        <v>19.399999999999999</v>
      </c>
      <c r="E763">
        <f t="shared" si="21"/>
        <v>19.399999999999999</v>
      </c>
      <c r="F763" t="s">
        <v>42</v>
      </c>
      <c r="G763" t="s">
        <v>42</v>
      </c>
      <c r="H763" t="s">
        <v>42</v>
      </c>
      <c r="I763" t="s">
        <v>42</v>
      </c>
      <c r="J763" t="s">
        <v>42</v>
      </c>
      <c r="K763" t="s">
        <v>42</v>
      </c>
      <c r="L763" t="s">
        <v>42</v>
      </c>
      <c r="M763" t="s">
        <v>122</v>
      </c>
      <c r="N763" t="s">
        <v>122</v>
      </c>
    </row>
    <row r="764" spans="1:14" x14ac:dyDescent="0.25">
      <c r="A764" t="s">
        <v>51</v>
      </c>
      <c r="B764" s="5" t="s">
        <v>45</v>
      </c>
      <c r="C764" t="s">
        <v>121</v>
      </c>
      <c r="D764">
        <v>22</v>
      </c>
      <c r="E764">
        <f t="shared" si="21"/>
        <v>22</v>
      </c>
      <c r="F764" t="s">
        <v>42</v>
      </c>
      <c r="G764" t="s">
        <v>42</v>
      </c>
      <c r="H764" t="s">
        <v>42</v>
      </c>
      <c r="I764" t="s">
        <v>42</v>
      </c>
      <c r="J764" t="s">
        <v>42</v>
      </c>
      <c r="K764" t="s">
        <v>42</v>
      </c>
      <c r="L764" t="s">
        <v>42</v>
      </c>
      <c r="M764" t="s">
        <v>122</v>
      </c>
      <c r="N764" t="s">
        <v>122</v>
      </c>
    </row>
    <row r="765" spans="1:14" x14ac:dyDescent="0.25">
      <c r="A765" t="s">
        <v>51</v>
      </c>
      <c r="B765" s="5" t="s">
        <v>45</v>
      </c>
      <c r="C765" t="s">
        <v>121</v>
      </c>
      <c r="D765">
        <v>24.7</v>
      </c>
      <c r="E765">
        <f t="shared" si="21"/>
        <v>24.7</v>
      </c>
      <c r="F765" t="s">
        <v>42</v>
      </c>
      <c r="G765" t="s">
        <v>42</v>
      </c>
      <c r="H765" t="s">
        <v>42</v>
      </c>
      <c r="I765" t="s">
        <v>42</v>
      </c>
      <c r="J765" t="s">
        <v>42</v>
      </c>
      <c r="K765" t="s">
        <v>42</v>
      </c>
      <c r="L765" t="s">
        <v>42</v>
      </c>
      <c r="M765" t="s">
        <v>122</v>
      </c>
      <c r="N765" t="s">
        <v>122</v>
      </c>
    </row>
    <row r="766" spans="1:14" x14ac:dyDescent="0.25">
      <c r="A766" t="s">
        <v>51</v>
      </c>
      <c r="B766" s="5" t="s">
        <v>45</v>
      </c>
      <c r="C766" t="s">
        <v>121</v>
      </c>
      <c r="D766">
        <v>28</v>
      </c>
      <c r="E766">
        <f t="shared" si="21"/>
        <v>28</v>
      </c>
      <c r="F766" t="s">
        <v>42</v>
      </c>
      <c r="G766" t="s">
        <v>42</v>
      </c>
      <c r="H766" t="s">
        <v>42</v>
      </c>
      <c r="I766" t="s">
        <v>42</v>
      </c>
      <c r="J766" t="s">
        <v>42</v>
      </c>
      <c r="K766" t="s">
        <v>42</v>
      </c>
      <c r="L766" t="s">
        <v>42</v>
      </c>
      <c r="M766" t="s">
        <v>122</v>
      </c>
      <c r="N766" t="s">
        <v>122</v>
      </c>
    </row>
    <row r="767" spans="1:14" x14ac:dyDescent="0.25">
      <c r="A767" t="s">
        <v>51</v>
      </c>
      <c r="B767" s="5" t="s">
        <v>45</v>
      </c>
      <c r="C767" t="s">
        <v>121</v>
      </c>
      <c r="D767">
        <v>29.9</v>
      </c>
      <c r="E767">
        <f t="shared" si="21"/>
        <v>29.9</v>
      </c>
      <c r="F767" t="s">
        <v>42</v>
      </c>
      <c r="G767" t="s">
        <v>42</v>
      </c>
      <c r="H767" t="s">
        <v>42</v>
      </c>
      <c r="I767" t="s">
        <v>42</v>
      </c>
      <c r="J767" t="s">
        <v>42</v>
      </c>
      <c r="K767" t="s">
        <v>42</v>
      </c>
      <c r="L767" t="s">
        <v>42</v>
      </c>
      <c r="M767" t="s">
        <v>122</v>
      </c>
      <c r="N767" t="s">
        <v>122</v>
      </c>
    </row>
    <row r="768" spans="1:14" x14ac:dyDescent="0.25">
      <c r="A768" t="s">
        <v>51</v>
      </c>
      <c r="B768" s="5" t="s">
        <v>45</v>
      </c>
      <c r="C768" t="s">
        <v>123</v>
      </c>
      <c r="D768">
        <v>11.1</v>
      </c>
      <c r="E768">
        <f t="shared" si="21"/>
        <v>11.1</v>
      </c>
      <c r="F768" t="s">
        <v>42</v>
      </c>
      <c r="G768" t="s">
        <v>42</v>
      </c>
      <c r="H768" t="s">
        <v>42</v>
      </c>
      <c r="I768" t="s">
        <v>42</v>
      </c>
      <c r="J768" t="s">
        <v>42</v>
      </c>
      <c r="K768" t="s">
        <v>42</v>
      </c>
      <c r="L768" t="s">
        <v>42</v>
      </c>
      <c r="M768" t="s">
        <v>122</v>
      </c>
      <c r="N768" t="s">
        <v>122</v>
      </c>
    </row>
    <row r="769" spans="1:14" x14ac:dyDescent="0.25">
      <c r="A769" t="s">
        <v>51</v>
      </c>
      <c r="B769" s="5" t="s">
        <v>45</v>
      </c>
      <c r="C769" t="s">
        <v>121</v>
      </c>
      <c r="D769">
        <v>11.5</v>
      </c>
      <c r="E769">
        <f t="shared" si="21"/>
        <v>11.5</v>
      </c>
      <c r="F769" t="s">
        <v>42</v>
      </c>
      <c r="G769" t="s">
        <v>42</v>
      </c>
      <c r="H769" t="s">
        <v>42</v>
      </c>
      <c r="I769" t="s">
        <v>42</v>
      </c>
      <c r="J769" t="s">
        <v>42</v>
      </c>
      <c r="K769" t="s">
        <v>42</v>
      </c>
      <c r="L769" t="s">
        <v>42</v>
      </c>
      <c r="M769" t="s">
        <v>122</v>
      </c>
      <c r="N769" t="s">
        <v>122</v>
      </c>
    </row>
    <row r="770" spans="1:14" x14ac:dyDescent="0.25">
      <c r="A770" t="s">
        <v>51</v>
      </c>
      <c r="B770" s="5" t="s">
        <v>45</v>
      </c>
      <c r="C770" t="s">
        <v>121</v>
      </c>
      <c r="D770">
        <v>29.9</v>
      </c>
      <c r="E770">
        <f t="shared" si="21"/>
        <v>29.9</v>
      </c>
      <c r="F770" t="s">
        <v>42</v>
      </c>
      <c r="G770" t="s">
        <v>42</v>
      </c>
      <c r="H770" t="s">
        <v>42</v>
      </c>
      <c r="I770" t="s">
        <v>42</v>
      </c>
      <c r="J770" t="s">
        <v>42</v>
      </c>
      <c r="K770" t="s">
        <v>42</v>
      </c>
      <c r="L770" t="s">
        <v>42</v>
      </c>
      <c r="M770" t="s">
        <v>122</v>
      </c>
      <c r="N770" t="s">
        <v>122</v>
      </c>
    </row>
    <row r="771" spans="1:14" x14ac:dyDescent="0.25">
      <c r="A771" t="s">
        <v>51</v>
      </c>
      <c r="B771" s="5" t="s">
        <v>45</v>
      </c>
      <c r="C771" t="s">
        <v>121</v>
      </c>
      <c r="D771">
        <v>30.6</v>
      </c>
      <c r="E771">
        <f t="shared" si="21"/>
        <v>30.6</v>
      </c>
      <c r="F771" t="s">
        <v>42</v>
      </c>
      <c r="G771" t="s">
        <v>42</v>
      </c>
      <c r="H771" t="s">
        <v>42</v>
      </c>
      <c r="I771" t="s">
        <v>42</v>
      </c>
      <c r="J771" t="s">
        <v>42</v>
      </c>
      <c r="K771" t="s">
        <v>42</v>
      </c>
      <c r="L771" t="s">
        <v>42</v>
      </c>
      <c r="M771" t="s">
        <v>122</v>
      </c>
      <c r="N771" t="s">
        <v>122</v>
      </c>
    </row>
    <row r="772" spans="1:14" x14ac:dyDescent="0.25">
      <c r="A772" t="s">
        <v>53</v>
      </c>
      <c r="B772" s="5" t="s">
        <v>45</v>
      </c>
      <c r="C772" t="s">
        <v>121</v>
      </c>
      <c r="D772">
        <v>35.1</v>
      </c>
      <c r="E772">
        <f t="shared" si="21"/>
        <v>35.1</v>
      </c>
      <c r="F772" t="s">
        <v>42</v>
      </c>
      <c r="G772" t="s">
        <v>42</v>
      </c>
      <c r="H772" t="s">
        <v>42</v>
      </c>
      <c r="I772" t="s">
        <v>42</v>
      </c>
      <c r="J772" t="s">
        <v>42</v>
      </c>
      <c r="K772" t="s">
        <v>42</v>
      </c>
      <c r="L772" t="s">
        <v>42</v>
      </c>
      <c r="M772" t="s">
        <v>122</v>
      </c>
      <c r="N772" t="s">
        <v>122</v>
      </c>
    </row>
    <row r="773" spans="1:14" x14ac:dyDescent="0.25">
      <c r="A773" t="s">
        <v>53</v>
      </c>
      <c r="B773" s="5" t="s">
        <v>45</v>
      </c>
      <c r="C773" t="s">
        <v>121</v>
      </c>
      <c r="D773">
        <v>22.1</v>
      </c>
      <c r="E773">
        <f t="shared" si="21"/>
        <v>22.1</v>
      </c>
      <c r="F773" t="s">
        <v>42</v>
      </c>
      <c r="G773" t="s">
        <v>42</v>
      </c>
      <c r="H773" t="s">
        <v>42</v>
      </c>
      <c r="I773" t="s">
        <v>42</v>
      </c>
      <c r="J773" t="s">
        <v>42</v>
      </c>
      <c r="K773" t="s">
        <v>42</v>
      </c>
      <c r="L773" t="s">
        <v>42</v>
      </c>
      <c r="M773" t="s">
        <v>122</v>
      </c>
      <c r="N773" t="s">
        <v>122</v>
      </c>
    </row>
    <row r="774" spans="1:14" x14ac:dyDescent="0.25">
      <c r="A774" t="s">
        <v>53</v>
      </c>
      <c r="B774" s="5" t="s">
        <v>45</v>
      </c>
      <c r="C774" t="s">
        <v>121</v>
      </c>
      <c r="D774">
        <v>22.2</v>
      </c>
      <c r="E774">
        <f t="shared" si="21"/>
        <v>22.2</v>
      </c>
      <c r="F774" t="s">
        <v>42</v>
      </c>
      <c r="G774" t="s">
        <v>42</v>
      </c>
      <c r="H774" t="s">
        <v>42</v>
      </c>
      <c r="I774" t="s">
        <v>42</v>
      </c>
      <c r="J774" t="s">
        <v>42</v>
      </c>
      <c r="K774" t="s">
        <v>42</v>
      </c>
      <c r="L774" t="s">
        <v>42</v>
      </c>
      <c r="M774" t="s">
        <v>122</v>
      </c>
      <c r="N774" t="s">
        <v>122</v>
      </c>
    </row>
    <row r="775" spans="1:14" x14ac:dyDescent="0.25">
      <c r="A775" t="s">
        <v>53</v>
      </c>
      <c r="B775" s="5" t="s">
        <v>45</v>
      </c>
      <c r="C775" t="s">
        <v>121</v>
      </c>
      <c r="D775">
        <v>11.5</v>
      </c>
      <c r="E775">
        <f t="shared" ref="E775:E838" si="22">D775</f>
        <v>11.5</v>
      </c>
      <c r="F775" t="s">
        <v>42</v>
      </c>
      <c r="G775" t="s">
        <v>42</v>
      </c>
      <c r="H775" t="s">
        <v>42</v>
      </c>
      <c r="I775" t="s">
        <v>42</v>
      </c>
      <c r="J775" t="s">
        <v>42</v>
      </c>
      <c r="K775" t="s">
        <v>42</v>
      </c>
      <c r="L775" t="s">
        <v>42</v>
      </c>
      <c r="M775" t="s">
        <v>122</v>
      </c>
      <c r="N775" t="s">
        <v>122</v>
      </c>
    </row>
    <row r="776" spans="1:14" x14ac:dyDescent="0.25">
      <c r="A776" t="s">
        <v>53</v>
      </c>
      <c r="B776" s="5" t="s">
        <v>45</v>
      </c>
      <c r="C776" t="s">
        <v>121</v>
      </c>
      <c r="D776">
        <v>17.5</v>
      </c>
      <c r="E776">
        <f t="shared" si="22"/>
        <v>17.5</v>
      </c>
      <c r="F776" t="s">
        <v>42</v>
      </c>
      <c r="G776" t="s">
        <v>42</v>
      </c>
      <c r="H776" t="s">
        <v>42</v>
      </c>
      <c r="I776" t="s">
        <v>42</v>
      </c>
      <c r="J776" t="s">
        <v>42</v>
      </c>
      <c r="K776" t="s">
        <v>42</v>
      </c>
      <c r="L776" t="s">
        <v>42</v>
      </c>
      <c r="M776" t="s">
        <v>122</v>
      </c>
      <c r="N776" t="s">
        <v>122</v>
      </c>
    </row>
    <row r="777" spans="1:14" x14ac:dyDescent="0.25">
      <c r="A777" t="s">
        <v>53</v>
      </c>
      <c r="B777" s="5" t="s">
        <v>45</v>
      </c>
      <c r="C777" t="s">
        <v>121</v>
      </c>
      <c r="D777">
        <v>26.9</v>
      </c>
      <c r="E777">
        <f t="shared" si="22"/>
        <v>26.9</v>
      </c>
      <c r="F777" t="s">
        <v>42</v>
      </c>
      <c r="G777" t="s">
        <v>42</v>
      </c>
      <c r="H777" t="s">
        <v>42</v>
      </c>
      <c r="I777" t="s">
        <v>42</v>
      </c>
      <c r="J777" t="s">
        <v>42</v>
      </c>
      <c r="K777" t="s">
        <v>42</v>
      </c>
      <c r="L777" t="s">
        <v>42</v>
      </c>
      <c r="M777" t="s">
        <v>122</v>
      </c>
      <c r="N777" t="s">
        <v>122</v>
      </c>
    </row>
    <row r="778" spans="1:14" x14ac:dyDescent="0.25">
      <c r="A778" t="s">
        <v>53</v>
      </c>
      <c r="B778" s="5" t="s">
        <v>45</v>
      </c>
      <c r="C778" t="s">
        <v>121</v>
      </c>
      <c r="D778">
        <v>12.2</v>
      </c>
      <c r="E778">
        <f t="shared" si="22"/>
        <v>12.2</v>
      </c>
      <c r="F778" t="s">
        <v>42</v>
      </c>
      <c r="G778" t="s">
        <v>42</v>
      </c>
      <c r="H778" t="s">
        <v>42</v>
      </c>
      <c r="I778" t="s">
        <v>42</v>
      </c>
      <c r="J778" t="s">
        <v>42</v>
      </c>
      <c r="K778" t="s">
        <v>42</v>
      </c>
      <c r="L778" t="s">
        <v>42</v>
      </c>
      <c r="M778" t="s">
        <v>122</v>
      </c>
      <c r="N778" t="s">
        <v>122</v>
      </c>
    </row>
    <row r="779" spans="1:14" x14ac:dyDescent="0.25">
      <c r="A779" t="s">
        <v>53</v>
      </c>
      <c r="B779" s="5" t="s">
        <v>45</v>
      </c>
      <c r="C779" t="s">
        <v>121</v>
      </c>
      <c r="D779">
        <v>17.7</v>
      </c>
      <c r="E779">
        <f t="shared" si="22"/>
        <v>17.7</v>
      </c>
      <c r="F779" t="s">
        <v>42</v>
      </c>
      <c r="G779" t="s">
        <v>42</v>
      </c>
      <c r="H779" t="s">
        <v>42</v>
      </c>
      <c r="I779" t="s">
        <v>42</v>
      </c>
      <c r="J779" t="s">
        <v>42</v>
      </c>
      <c r="K779" t="s">
        <v>42</v>
      </c>
      <c r="L779" t="s">
        <v>42</v>
      </c>
      <c r="M779" t="s">
        <v>122</v>
      </c>
      <c r="N779" t="s">
        <v>122</v>
      </c>
    </row>
    <row r="780" spans="1:14" x14ac:dyDescent="0.25">
      <c r="A780" t="s">
        <v>53</v>
      </c>
      <c r="B780" s="5" t="s">
        <v>45</v>
      </c>
      <c r="C780" t="s">
        <v>121</v>
      </c>
      <c r="D780">
        <v>23.9</v>
      </c>
      <c r="E780">
        <f t="shared" si="22"/>
        <v>23.9</v>
      </c>
      <c r="F780" t="s">
        <v>42</v>
      </c>
      <c r="G780" t="s">
        <v>42</v>
      </c>
      <c r="H780" t="s">
        <v>42</v>
      </c>
      <c r="I780" t="s">
        <v>42</v>
      </c>
      <c r="J780" t="s">
        <v>42</v>
      </c>
      <c r="K780" t="s">
        <v>42</v>
      </c>
      <c r="L780" t="s">
        <v>42</v>
      </c>
      <c r="M780" t="s">
        <v>122</v>
      </c>
      <c r="N780" t="s">
        <v>122</v>
      </c>
    </row>
    <row r="781" spans="1:14" x14ac:dyDescent="0.25">
      <c r="A781" t="s">
        <v>53</v>
      </c>
      <c r="B781" s="5" t="s">
        <v>45</v>
      </c>
      <c r="C781" t="s">
        <v>121</v>
      </c>
      <c r="D781">
        <v>21.5</v>
      </c>
      <c r="E781">
        <f t="shared" si="22"/>
        <v>21.5</v>
      </c>
      <c r="F781" t="s">
        <v>42</v>
      </c>
      <c r="G781" t="s">
        <v>42</v>
      </c>
      <c r="H781" t="s">
        <v>42</v>
      </c>
      <c r="I781" t="s">
        <v>42</v>
      </c>
      <c r="J781" t="s">
        <v>42</v>
      </c>
      <c r="K781" t="s">
        <v>42</v>
      </c>
      <c r="L781" t="s">
        <v>42</v>
      </c>
      <c r="M781" t="s">
        <v>122</v>
      </c>
      <c r="N781" t="s">
        <v>122</v>
      </c>
    </row>
    <row r="782" spans="1:14" x14ac:dyDescent="0.25">
      <c r="A782" t="s">
        <v>53</v>
      </c>
      <c r="B782" s="5" t="s">
        <v>45</v>
      </c>
      <c r="C782" t="s">
        <v>121</v>
      </c>
      <c r="D782">
        <v>26</v>
      </c>
      <c r="E782">
        <f t="shared" si="22"/>
        <v>26</v>
      </c>
      <c r="F782" t="s">
        <v>42</v>
      </c>
      <c r="G782" t="s">
        <v>42</v>
      </c>
      <c r="H782" t="s">
        <v>42</v>
      </c>
      <c r="I782" t="s">
        <v>42</v>
      </c>
      <c r="J782" t="s">
        <v>42</v>
      </c>
      <c r="K782" t="s">
        <v>42</v>
      </c>
      <c r="L782" t="s">
        <v>42</v>
      </c>
      <c r="M782" t="s">
        <v>122</v>
      </c>
      <c r="N782" t="s">
        <v>122</v>
      </c>
    </row>
    <row r="783" spans="1:14" x14ac:dyDescent="0.25">
      <c r="A783" t="s">
        <v>53</v>
      </c>
      <c r="B783" s="5" t="s">
        <v>45</v>
      </c>
      <c r="C783" t="s">
        <v>123</v>
      </c>
      <c r="D783">
        <v>17.399999999999999</v>
      </c>
      <c r="E783">
        <f t="shared" si="22"/>
        <v>17.399999999999999</v>
      </c>
      <c r="F783" t="s">
        <v>42</v>
      </c>
      <c r="G783" t="s">
        <v>42</v>
      </c>
      <c r="H783" t="s">
        <v>42</v>
      </c>
      <c r="I783" t="s">
        <v>42</v>
      </c>
      <c r="J783" t="s">
        <v>42</v>
      </c>
      <c r="K783" t="s">
        <v>42</v>
      </c>
      <c r="L783" t="s">
        <v>42</v>
      </c>
      <c r="M783" t="s">
        <v>122</v>
      </c>
      <c r="N783" t="s">
        <v>122</v>
      </c>
    </row>
    <row r="784" spans="1:14" x14ac:dyDescent="0.25">
      <c r="A784" t="s">
        <v>53</v>
      </c>
      <c r="B784" s="5" t="s">
        <v>45</v>
      </c>
      <c r="C784" t="s">
        <v>121</v>
      </c>
      <c r="D784">
        <v>22</v>
      </c>
      <c r="E784">
        <f t="shared" si="22"/>
        <v>22</v>
      </c>
      <c r="F784" t="s">
        <v>42</v>
      </c>
      <c r="G784" t="s">
        <v>42</v>
      </c>
      <c r="H784" t="s">
        <v>42</v>
      </c>
      <c r="I784" t="s">
        <v>42</v>
      </c>
      <c r="J784" t="s">
        <v>42</v>
      </c>
      <c r="K784" t="s">
        <v>42</v>
      </c>
      <c r="L784" t="s">
        <v>42</v>
      </c>
      <c r="M784" t="s">
        <v>122</v>
      </c>
      <c r="N784" t="s">
        <v>122</v>
      </c>
    </row>
    <row r="785" spans="1:14" x14ac:dyDescent="0.25">
      <c r="A785" t="s">
        <v>53</v>
      </c>
      <c r="B785" s="5" t="s">
        <v>45</v>
      </c>
      <c r="C785" t="s">
        <v>121</v>
      </c>
      <c r="D785">
        <v>13.1</v>
      </c>
      <c r="E785">
        <f t="shared" si="22"/>
        <v>13.1</v>
      </c>
      <c r="F785" t="s">
        <v>42</v>
      </c>
      <c r="G785" t="s">
        <v>42</v>
      </c>
      <c r="H785" t="s">
        <v>42</v>
      </c>
      <c r="I785" t="s">
        <v>42</v>
      </c>
      <c r="J785" t="s">
        <v>42</v>
      </c>
      <c r="K785" t="s">
        <v>42</v>
      </c>
      <c r="L785" t="s">
        <v>42</v>
      </c>
      <c r="M785" t="s">
        <v>122</v>
      </c>
      <c r="N785" t="s">
        <v>122</v>
      </c>
    </row>
    <row r="786" spans="1:14" x14ac:dyDescent="0.25">
      <c r="A786" t="s">
        <v>53</v>
      </c>
      <c r="B786" s="5" t="s">
        <v>45</v>
      </c>
      <c r="C786" t="s">
        <v>121</v>
      </c>
      <c r="D786">
        <v>19.8</v>
      </c>
      <c r="E786">
        <f t="shared" si="22"/>
        <v>19.8</v>
      </c>
      <c r="F786" t="s">
        <v>42</v>
      </c>
      <c r="G786" t="s">
        <v>42</v>
      </c>
      <c r="H786" t="s">
        <v>42</v>
      </c>
      <c r="I786" t="s">
        <v>42</v>
      </c>
      <c r="J786" t="s">
        <v>42</v>
      </c>
      <c r="K786" t="s">
        <v>42</v>
      </c>
      <c r="L786" t="s">
        <v>42</v>
      </c>
      <c r="M786" t="s">
        <v>122</v>
      </c>
      <c r="N786" t="s">
        <v>122</v>
      </c>
    </row>
    <row r="787" spans="1:14" x14ac:dyDescent="0.25">
      <c r="A787" t="s">
        <v>53</v>
      </c>
      <c r="B787" s="5" t="s">
        <v>45</v>
      </c>
      <c r="C787" t="s">
        <v>121</v>
      </c>
      <c r="D787">
        <v>17</v>
      </c>
      <c r="E787">
        <f t="shared" si="22"/>
        <v>17</v>
      </c>
      <c r="F787" t="s">
        <v>42</v>
      </c>
      <c r="G787" t="s">
        <v>42</v>
      </c>
      <c r="H787" t="s">
        <v>42</v>
      </c>
      <c r="I787" t="s">
        <v>42</v>
      </c>
      <c r="J787" t="s">
        <v>42</v>
      </c>
      <c r="K787" t="s">
        <v>42</v>
      </c>
      <c r="L787" t="s">
        <v>42</v>
      </c>
      <c r="M787" t="s">
        <v>122</v>
      </c>
      <c r="N787" t="s">
        <v>122</v>
      </c>
    </row>
    <row r="788" spans="1:14" x14ac:dyDescent="0.25">
      <c r="A788" t="s">
        <v>53</v>
      </c>
      <c r="B788" s="5" t="s">
        <v>45</v>
      </c>
      <c r="C788" t="s">
        <v>121</v>
      </c>
      <c r="D788">
        <v>18.399999999999999</v>
      </c>
      <c r="E788">
        <f t="shared" si="22"/>
        <v>18.399999999999999</v>
      </c>
      <c r="F788" t="s">
        <v>42</v>
      </c>
      <c r="G788" t="s">
        <v>42</v>
      </c>
      <c r="H788" t="s">
        <v>42</v>
      </c>
      <c r="I788" t="s">
        <v>42</v>
      </c>
      <c r="J788" t="s">
        <v>42</v>
      </c>
      <c r="K788" t="s">
        <v>42</v>
      </c>
      <c r="L788" t="s">
        <v>42</v>
      </c>
      <c r="M788" t="s">
        <v>122</v>
      </c>
      <c r="N788" t="s">
        <v>122</v>
      </c>
    </row>
    <row r="789" spans="1:14" x14ac:dyDescent="0.25">
      <c r="A789" t="s">
        <v>53</v>
      </c>
      <c r="B789" s="5" t="s">
        <v>45</v>
      </c>
      <c r="C789" t="s">
        <v>121</v>
      </c>
      <c r="D789">
        <v>19</v>
      </c>
      <c r="E789">
        <f t="shared" si="22"/>
        <v>19</v>
      </c>
      <c r="F789" t="s">
        <v>42</v>
      </c>
      <c r="G789" t="s">
        <v>42</v>
      </c>
      <c r="H789" t="s">
        <v>42</v>
      </c>
      <c r="I789" t="s">
        <v>42</v>
      </c>
      <c r="J789" t="s">
        <v>42</v>
      </c>
      <c r="K789" t="s">
        <v>42</v>
      </c>
      <c r="L789" t="s">
        <v>42</v>
      </c>
      <c r="M789" t="s">
        <v>122</v>
      </c>
      <c r="N789" t="s">
        <v>122</v>
      </c>
    </row>
    <row r="790" spans="1:14" x14ac:dyDescent="0.25">
      <c r="A790" t="s">
        <v>53</v>
      </c>
      <c r="B790" s="5" t="s">
        <v>45</v>
      </c>
      <c r="C790" t="s">
        <v>121</v>
      </c>
      <c r="D790">
        <v>29.9</v>
      </c>
      <c r="E790">
        <f t="shared" si="22"/>
        <v>29.9</v>
      </c>
      <c r="F790" t="s">
        <v>42</v>
      </c>
      <c r="G790" t="s">
        <v>42</v>
      </c>
      <c r="H790" t="s">
        <v>42</v>
      </c>
      <c r="I790" t="s">
        <v>42</v>
      </c>
      <c r="J790" t="s">
        <v>42</v>
      </c>
      <c r="K790" t="s">
        <v>42</v>
      </c>
      <c r="L790" t="s">
        <v>42</v>
      </c>
      <c r="M790" t="s">
        <v>122</v>
      </c>
      <c r="N790" t="s">
        <v>122</v>
      </c>
    </row>
    <row r="791" spans="1:14" x14ac:dyDescent="0.25">
      <c r="A791" t="s">
        <v>53</v>
      </c>
      <c r="B791" s="5" t="s">
        <v>45</v>
      </c>
      <c r="C791" t="s">
        <v>121</v>
      </c>
      <c r="D791">
        <v>12.2</v>
      </c>
      <c r="E791">
        <f t="shared" si="22"/>
        <v>12.2</v>
      </c>
      <c r="F791" t="s">
        <v>42</v>
      </c>
      <c r="G791" t="s">
        <v>42</v>
      </c>
      <c r="H791" t="s">
        <v>42</v>
      </c>
      <c r="I791" t="s">
        <v>42</v>
      </c>
      <c r="J791" t="s">
        <v>42</v>
      </c>
      <c r="K791" t="s">
        <v>42</v>
      </c>
      <c r="L791" t="s">
        <v>42</v>
      </c>
      <c r="M791" t="s">
        <v>122</v>
      </c>
      <c r="N791" t="s">
        <v>122</v>
      </c>
    </row>
    <row r="792" spans="1:14" x14ac:dyDescent="0.25">
      <c r="A792" t="s">
        <v>53</v>
      </c>
      <c r="B792" s="5" t="s">
        <v>45</v>
      </c>
      <c r="C792" t="s">
        <v>121</v>
      </c>
      <c r="D792">
        <v>8.5</v>
      </c>
      <c r="E792">
        <f t="shared" si="22"/>
        <v>8.5</v>
      </c>
      <c r="F792" t="s">
        <v>42</v>
      </c>
      <c r="G792" t="s">
        <v>42</v>
      </c>
      <c r="H792" t="s">
        <v>42</v>
      </c>
      <c r="I792" t="s">
        <v>42</v>
      </c>
      <c r="J792" t="s">
        <v>42</v>
      </c>
      <c r="K792" t="s">
        <v>42</v>
      </c>
      <c r="L792" t="s">
        <v>42</v>
      </c>
      <c r="M792" t="s">
        <v>122</v>
      </c>
      <c r="N792" t="s">
        <v>122</v>
      </c>
    </row>
    <row r="793" spans="1:14" x14ac:dyDescent="0.25">
      <c r="A793" t="s">
        <v>53</v>
      </c>
      <c r="B793" s="5" t="s">
        <v>45</v>
      </c>
      <c r="C793" t="s">
        <v>121</v>
      </c>
      <c r="D793">
        <v>26.9</v>
      </c>
      <c r="E793">
        <f t="shared" si="22"/>
        <v>26.9</v>
      </c>
      <c r="F793" t="s">
        <v>42</v>
      </c>
      <c r="G793" t="s">
        <v>42</v>
      </c>
      <c r="H793" t="s">
        <v>42</v>
      </c>
      <c r="I793" t="s">
        <v>42</v>
      </c>
      <c r="J793" t="s">
        <v>42</v>
      </c>
      <c r="K793" t="s">
        <v>42</v>
      </c>
      <c r="L793" t="s">
        <v>42</v>
      </c>
      <c r="M793" t="s">
        <v>122</v>
      </c>
      <c r="N793" t="s">
        <v>122</v>
      </c>
    </row>
    <row r="794" spans="1:14" x14ac:dyDescent="0.25">
      <c r="A794" t="s">
        <v>53</v>
      </c>
      <c r="B794" s="5" t="s">
        <v>45</v>
      </c>
      <c r="C794" t="s">
        <v>121</v>
      </c>
      <c r="D794">
        <v>26.5</v>
      </c>
      <c r="E794">
        <f t="shared" si="22"/>
        <v>26.5</v>
      </c>
      <c r="F794" t="s">
        <v>42</v>
      </c>
      <c r="G794" t="s">
        <v>42</v>
      </c>
      <c r="H794" t="s">
        <v>42</v>
      </c>
      <c r="I794" t="s">
        <v>42</v>
      </c>
      <c r="J794" t="s">
        <v>42</v>
      </c>
      <c r="K794" t="s">
        <v>42</v>
      </c>
      <c r="L794" t="s">
        <v>42</v>
      </c>
      <c r="M794" t="s">
        <v>122</v>
      </c>
      <c r="N794" t="s">
        <v>122</v>
      </c>
    </row>
    <row r="795" spans="1:14" x14ac:dyDescent="0.25">
      <c r="A795" t="s">
        <v>53</v>
      </c>
      <c r="B795" s="5" t="s">
        <v>45</v>
      </c>
      <c r="C795" t="s">
        <v>121</v>
      </c>
      <c r="D795">
        <v>24.6</v>
      </c>
      <c r="E795">
        <f t="shared" si="22"/>
        <v>24.6</v>
      </c>
      <c r="F795" t="s">
        <v>42</v>
      </c>
      <c r="G795" t="s">
        <v>42</v>
      </c>
      <c r="H795" t="s">
        <v>42</v>
      </c>
      <c r="I795" t="s">
        <v>42</v>
      </c>
      <c r="J795" t="s">
        <v>42</v>
      </c>
      <c r="K795" t="s">
        <v>42</v>
      </c>
      <c r="L795" t="s">
        <v>42</v>
      </c>
      <c r="M795" t="s">
        <v>122</v>
      </c>
      <c r="N795" t="s">
        <v>122</v>
      </c>
    </row>
    <row r="796" spans="1:14" x14ac:dyDescent="0.25">
      <c r="A796" t="s">
        <v>53</v>
      </c>
      <c r="B796" s="5" t="s">
        <v>45</v>
      </c>
      <c r="C796" t="s">
        <v>123</v>
      </c>
      <c r="D796">
        <v>12</v>
      </c>
      <c r="E796">
        <f t="shared" si="22"/>
        <v>12</v>
      </c>
      <c r="F796" t="s">
        <v>42</v>
      </c>
      <c r="G796" t="s">
        <v>42</v>
      </c>
      <c r="H796" t="s">
        <v>42</v>
      </c>
      <c r="I796" t="s">
        <v>42</v>
      </c>
      <c r="J796" t="s">
        <v>42</v>
      </c>
      <c r="K796" t="s">
        <v>42</v>
      </c>
      <c r="L796" t="s">
        <v>42</v>
      </c>
      <c r="M796" t="s">
        <v>122</v>
      </c>
      <c r="N796" t="s">
        <v>122</v>
      </c>
    </row>
    <row r="797" spans="1:14" x14ac:dyDescent="0.25">
      <c r="A797" t="s">
        <v>53</v>
      </c>
      <c r="B797" s="5" t="s">
        <v>45</v>
      </c>
      <c r="C797" t="s">
        <v>121</v>
      </c>
      <c r="D797">
        <v>20.399999999999999</v>
      </c>
      <c r="E797">
        <f t="shared" si="22"/>
        <v>20.399999999999999</v>
      </c>
      <c r="F797" t="s">
        <v>42</v>
      </c>
      <c r="G797" t="s">
        <v>42</v>
      </c>
      <c r="H797" t="s">
        <v>42</v>
      </c>
      <c r="I797" t="s">
        <v>42</v>
      </c>
      <c r="J797" t="s">
        <v>42</v>
      </c>
      <c r="K797" t="s">
        <v>42</v>
      </c>
      <c r="L797" t="s">
        <v>42</v>
      </c>
      <c r="M797" t="s">
        <v>122</v>
      </c>
      <c r="N797" t="s">
        <v>122</v>
      </c>
    </row>
    <row r="798" spans="1:14" x14ac:dyDescent="0.25">
      <c r="A798" t="s">
        <v>53</v>
      </c>
      <c r="B798" s="5" t="s">
        <v>45</v>
      </c>
      <c r="C798" t="s">
        <v>121</v>
      </c>
      <c r="D798">
        <v>25.5</v>
      </c>
      <c r="E798">
        <f t="shared" si="22"/>
        <v>25.5</v>
      </c>
      <c r="F798" t="s">
        <v>42</v>
      </c>
      <c r="G798" t="s">
        <v>42</v>
      </c>
      <c r="H798" t="s">
        <v>42</v>
      </c>
      <c r="I798" t="s">
        <v>42</v>
      </c>
      <c r="J798" t="s">
        <v>42</v>
      </c>
      <c r="K798" t="s">
        <v>42</v>
      </c>
      <c r="L798" t="s">
        <v>42</v>
      </c>
      <c r="M798" t="s">
        <v>122</v>
      </c>
      <c r="N798" t="s">
        <v>122</v>
      </c>
    </row>
    <row r="799" spans="1:14" x14ac:dyDescent="0.25">
      <c r="A799" t="s">
        <v>53</v>
      </c>
      <c r="B799" s="5" t="s">
        <v>45</v>
      </c>
      <c r="C799" t="s">
        <v>121</v>
      </c>
      <c r="D799">
        <v>15.8</v>
      </c>
      <c r="E799">
        <f t="shared" si="22"/>
        <v>15.8</v>
      </c>
      <c r="F799" t="s">
        <v>42</v>
      </c>
      <c r="G799" t="s">
        <v>42</v>
      </c>
      <c r="H799" t="s">
        <v>42</v>
      </c>
      <c r="I799" t="s">
        <v>42</v>
      </c>
      <c r="J799" t="s">
        <v>42</v>
      </c>
      <c r="K799" t="s">
        <v>42</v>
      </c>
      <c r="L799" t="s">
        <v>42</v>
      </c>
      <c r="M799" t="s">
        <v>122</v>
      </c>
      <c r="N799" t="s">
        <v>122</v>
      </c>
    </row>
    <row r="800" spans="1:14" x14ac:dyDescent="0.25">
      <c r="A800" t="s">
        <v>53</v>
      </c>
      <c r="B800" s="5" t="s">
        <v>45</v>
      </c>
      <c r="C800" t="s">
        <v>123</v>
      </c>
      <c r="D800">
        <v>18</v>
      </c>
      <c r="E800">
        <f t="shared" si="22"/>
        <v>18</v>
      </c>
      <c r="F800" t="s">
        <v>42</v>
      </c>
      <c r="G800" t="s">
        <v>42</v>
      </c>
      <c r="H800" t="s">
        <v>42</v>
      </c>
      <c r="I800" t="s">
        <v>42</v>
      </c>
      <c r="J800" t="s">
        <v>42</v>
      </c>
      <c r="K800" t="s">
        <v>42</v>
      </c>
      <c r="L800" t="s">
        <v>42</v>
      </c>
      <c r="M800" t="s">
        <v>122</v>
      </c>
      <c r="N800" t="s">
        <v>122</v>
      </c>
    </row>
    <row r="801" spans="1:14" x14ac:dyDescent="0.25">
      <c r="A801" t="s">
        <v>53</v>
      </c>
      <c r="B801" s="5" t="s">
        <v>45</v>
      </c>
      <c r="C801" t="s">
        <v>121</v>
      </c>
      <c r="D801">
        <v>21.9</v>
      </c>
      <c r="E801">
        <f t="shared" si="22"/>
        <v>21.9</v>
      </c>
      <c r="F801" t="s">
        <v>42</v>
      </c>
      <c r="G801" t="s">
        <v>42</v>
      </c>
      <c r="H801" t="s">
        <v>42</v>
      </c>
      <c r="I801" t="s">
        <v>42</v>
      </c>
      <c r="J801" t="s">
        <v>42</v>
      </c>
      <c r="K801" t="s">
        <v>42</v>
      </c>
      <c r="L801" t="s">
        <v>42</v>
      </c>
      <c r="M801" t="s">
        <v>122</v>
      </c>
      <c r="N801" t="s">
        <v>122</v>
      </c>
    </row>
    <row r="802" spans="1:14" x14ac:dyDescent="0.25">
      <c r="A802" t="s">
        <v>53</v>
      </c>
      <c r="B802" s="5" t="s">
        <v>45</v>
      </c>
      <c r="C802" t="s">
        <v>121</v>
      </c>
      <c r="D802">
        <v>23.6</v>
      </c>
      <c r="E802">
        <f t="shared" si="22"/>
        <v>23.6</v>
      </c>
      <c r="F802" t="s">
        <v>42</v>
      </c>
      <c r="G802" t="s">
        <v>42</v>
      </c>
      <c r="H802" t="s">
        <v>42</v>
      </c>
      <c r="I802" t="s">
        <v>42</v>
      </c>
      <c r="J802" t="s">
        <v>42</v>
      </c>
      <c r="K802" t="s">
        <v>42</v>
      </c>
      <c r="L802" t="s">
        <v>42</v>
      </c>
      <c r="M802" t="s">
        <v>122</v>
      </c>
      <c r="N802" t="s">
        <v>122</v>
      </c>
    </row>
    <row r="803" spans="1:14" x14ac:dyDescent="0.25">
      <c r="A803" t="s">
        <v>53</v>
      </c>
      <c r="B803" s="5" t="s">
        <v>45</v>
      </c>
      <c r="C803" t="s">
        <v>121</v>
      </c>
      <c r="D803">
        <v>19.3</v>
      </c>
      <c r="E803">
        <f t="shared" si="22"/>
        <v>19.3</v>
      </c>
      <c r="F803" t="s">
        <v>42</v>
      </c>
      <c r="G803" t="s">
        <v>42</v>
      </c>
      <c r="H803" t="s">
        <v>42</v>
      </c>
      <c r="I803" t="s">
        <v>42</v>
      </c>
      <c r="J803" t="s">
        <v>42</v>
      </c>
      <c r="K803" t="s">
        <v>42</v>
      </c>
      <c r="L803" t="s">
        <v>42</v>
      </c>
      <c r="M803" t="s">
        <v>122</v>
      </c>
      <c r="N803" t="s">
        <v>122</v>
      </c>
    </row>
    <row r="804" spans="1:14" x14ac:dyDescent="0.25">
      <c r="A804" t="s">
        <v>53</v>
      </c>
      <c r="B804" s="5" t="s">
        <v>45</v>
      </c>
      <c r="C804" t="s">
        <v>121</v>
      </c>
      <c r="D804">
        <v>29.6</v>
      </c>
      <c r="E804">
        <f t="shared" si="22"/>
        <v>29.6</v>
      </c>
      <c r="F804" t="s">
        <v>42</v>
      </c>
      <c r="G804" t="s">
        <v>42</v>
      </c>
      <c r="H804" t="s">
        <v>42</v>
      </c>
      <c r="I804" t="s">
        <v>42</v>
      </c>
      <c r="J804" t="s">
        <v>42</v>
      </c>
      <c r="K804" t="s">
        <v>42</v>
      </c>
      <c r="L804" t="s">
        <v>42</v>
      </c>
      <c r="M804" t="s">
        <v>122</v>
      </c>
      <c r="N804" t="s">
        <v>122</v>
      </c>
    </row>
    <row r="805" spans="1:14" x14ac:dyDescent="0.25">
      <c r="A805" t="s">
        <v>53</v>
      </c>
      <c r="B805" s="5" t="s">
        <v>45</v>
      </c>
      <c r="C805" t="s">
        <v>121</v>
      </c>
      <c r="D805">
        <v>18</v>
      </c>
      <c r="E805">
        <f t="shared" si="22"/>
        <v>18</v>
      </c>
      <c r="F805" t="s">
        <v>42</v>
      </c>
      <c r="G805" t="s">
        <v>42</v>
      </c>
      <c r="H805" t="s">
        <v>42</v>
      </c>
      <c r="I805" t="s">
        <v>42</v>
      </c>
      <c r="J805" t="s">
        <v>42</v>
      </c>
      <c r="K805" t="s">
        <v>42</v>
      </c>
      <c r="L805" t="s">
        <v>42</v>
      </c>
      <c r="M805" t="s">
        <v>122</v>
      </c>
      <c r="N805" t="s">
        <v>122</v>
      </c>
    </row>
    <row r="806" spans="1:14" x14ac:dyDescent="0.25">
      <c r="A806" t="s">
        <v>53</v>
      </c>
      <c r="B806" s="5" t="s">
        <v>45</v>
      </c>
      <c r="C806" t="s">
        <v>121</v>
      </c>
      <c r="D806">
        <v>15.8</v>
      </c>
      <c r="E806">
        <f t="shared" si="22"/>
        <v>15.8</v>
      </c>
      <c r="F806" t="s">
        <v>42</v>
      </c>
      <c r="G806" t="s">
        <v>42</v>
      </c>
      <c r="H806" t="s">
        <v>42</v>
      </c>
      <c r="I806" t="s">
        <v>42</v>
      </c>
      <c r="J806" t="s">
        <v>42</v>
      </c>
      <c r="K806" t="s">
        <v>42</v>
      </c>
      <c r="L806" t="s">
        <v>42</v>
      </c>
      <c r="M806" t="s">
        <v>122</v>
      </c>
      <c r="N806" t="s">
        <v>122</v>
      </c>
    </row>
    <row r="807" spans="1:14" x14ac:dyDescent="0.25">
      <c r="A807" t="s">
        <v>53</v>
      </c>
      <c r="B807" s="5" t="s">
        <v>45</v>
      </c>
      <c r="C807" t="s">
        <v>123</v>
      </c>
      <c r="D807">
        <v>17.7</v>
      </c>
      <c r="E807">
        <f t="shared" si="22"/>
        <v>17.7</v>
      </c>
      <c r="F807" t="s">
        <v>42</v>
      </c>
      <c r="G807" t="s">
        <v>42</v>
      </c>
      <c r="H807" t="s">
        <v>42</v>
      </c>
      <c r="I807" t="s">
        <v>42</v>
      </c>
      <c r="J807" t="s">
        <v>42</v>
      </c>
      <c r="K807" t="s">
        <v>42</v>
      </c>
      <c r="L807" t="s">
        <v>42</v>
      </c>
      <c r="M807" t="s">
        <v>122</v>
      </c>
      <c r="N807" t="s">
        <v>122</v>
      </c>
    </row>
    <row r="808" spans="1:14" x14ac:dyDescent="0.25">
      <c r="A808" t="s">
        <v>53</v>
      </c>
      <c r="B808" s="5" t="s">
        <v>45</v>
      </c>
      <c r="C808" t="s">
        <v>121</v>
      </c>
      <c r="D808">
        <v>27.9</v>
      </c>
      <c r="E808">
        <f t="shared" si="22"/>
        <v>27.9</v>
      </c>
      <c r="F808" t="s">
        <v>42</v>
      </c>
      <c r="G808" t="s">
        <v>42</v>
      </c>
      <c r="H808" t="s">
        <v>42</v>
      </c>
      <c r="I808" t="s">
        <v>42</v>
      </c>
      <c r="J808" t="s">
        <v>42</v>
      </c>
      <c r="K808" t="s">
        <v>42</v>
      </c>
      <c r="L808" t="s">
        <v>42</v>
      </c>
      <c r="M808" t="s">
        <v>122</v>
      </c>
      <c r="N808" t="s">
        <v>122</v>
      </c>
    </row>
    <row r="809" spans="1:14" x14ac:dyDescent="0.25">
      <c r="A809" t="s">
        <v>53</v>
      </c>
      <c r="B809" s="5" t="s">
        <v>45</v>
      </c>
      <c r="C809" t="s">
        <v>121</v>
      </c>
      <c r="D809">
        <v>21.6</v>
      </c>
      <c r="E809">
        <f t="shared" si="22"/>
        <v>21.6</v>
      </c>
      <c r="F809" t="s">
        <v>42</v>
      </c>
      <c r="G809" t="s">
        <v>42</v>
      </c>
      <c r="H809" t="s">
        <v>42</v>
      </c>
      <c r="I809" t="s">
        <v>42</v>
      </c>
      <c r="J809" t="s">
        <v>42</v>
      </c>
      <c r="K809" t="s">
        <v>42</v>
      </c>
      <c r="L809" t="s">
        <v>42</v>
      </c>
      <c r="M809" t="s">
        <v>122</v>
      </c>
      <c r="N809" t="s">
        <v>122</v>
      </c>
    </row>
    <row r="810" spans="1:14" x14ac:dyDescent="0.25">
      <c r="A810" t="s">
        <v>53</v>
      </c>
      <c r="B810" s="5" t="s">
        <v>45</v>
      </c>
      <c r="C810" t="s">
        <v>123</v>
      </c>
      <c r="D810">
        <v>10.199999999999999</v>
      </c>
      <c r="E810">
        <f t="shared" si="22"/>
        <v>10.199999999999999</v>
      </c>
      <c r="F810" t="s">
        <v>42</v>
      </c>
      <c r="G810" t="s">
        <v>42</v>
      </c>
      <c r="H810" t="s">
        <v>42</v>
      </c>
      <c r="I810" t="s">
        <v>42</v>
      </c>
      <c r="J810" t="s">
        <v>42</v>
      </c>
      <c r="K810" t="s">
        <v>42</v>
      </c>
      <c r="L810" t="s">
        <v>42</v>
      </c>
      <c r="M810" t="s">
        <v>122</v>
      </c>
      <c r="N810" t="s">
        <v>122</v>
      </c>
    </row>
    <row r="811" spans="1:14" x14ac:dyDescent="0.25">
      <c r="A811" t="s">
        <v>53</v>
      </c>
      <c r="B811" s="5" t="s">
        <v>45</v>
      </c>
      <c r="C811" t="s">
        <v>121</v>
      </c>
      <c r="D811">
        <v>23.1</v>
      </c>
      <c r="E811">
        <f t="shared" si="22"/>
        <v>23.1</v>
      </c>
      <c r="F811" t="s">
        <v>42</v>
      </c>
      <c r="G811" t="s">
        <v>42</v>
      </c>
      <c r="H811" t="s">
        <v>42</v>
      </c>
      <c r="I811" t="s">
        <v>42</v>
      </c>
      <c r="J811" t="s">
        <v>42</v>
      </c>
      <c r="K811" t="s">
        <v>42</v>
      </c>
      <c r="L811" t="s">
        <v>42</v>
      </c>
      <c r="M811" t="s">
        <v>122</v>
      </c>
      <c r="N811" t="s">
        <v>122</v>
      </c>
    </row>
    <row r="812" spans="1:14" x14ac:dyDescent="0.25">
      <c r="A812" t="s">
        <v>53</v>
      </c>
      <c r="B812" s="5" t="s">
        <v>45</v>
      </c>
      <c r="C812" t="s">
        <v>123</v>
      </c>
      <c r="D812">
        <v>10.7</v>
      </c>
      <c r="E812">
        <f t="shared" si="22"/>
        <v>10.7</v>
      </c>
      <c r="F812" t="s">
        <v>42</v>
      </c>
      <c r="G812" t="s">
        <v>42</v>
      </c>
      <c r="H812" t="s">
        <v>42</v>
      </c>
      <c r="I812" t="s">
        <v>42</v>
      </c>
      <c r="J812" t="s">
        <v>42</v>
      </c>
      <c r="K812" t="s">
        <v>42</v>
      </c>
      <c r="L812" t="s">
        <v>42</v>
      </c>
      <c r="M812" t="s">
        <v>122</v>
      </c>
      <c r="N812" t="s">
        <v>122</v>
      </c>
    </row>
    <row r="813" spans="1:14" x14ac:dyDescent="0.25">
      <c r="A813" t="s">
        <v>53</v>
      </c>
      <c r="B813" s="5" t="s">
        <v>45</v>
      </c>
      <c r="C813" t="s">
        <v>121</v>
      </c>
      <c r="D813">
        <v>9.5</v>
      </c>
      <c r="E813">
        <f t="shared" si="22"/>
        <v>9.5</v>
      </c>
      <c r="F813" t="s">
        <v>42</v>
      </c>
      <c r="G813" t="s">
        <v>42</v>
      </c>
      <c r="H813" t="s">
        <v>42</v>
      </c>
      <c r="I813" t="s">
        <v>42</v>
      </c>
      <c r="J813" t="s">
        <v>42</v>
      </c>
      <c r="K813" t="s">
        <v>42</v>
      </c>
      <c r="L813" t="s">
        <v>42</v>
      </c>
      <c r="M813" t="s">
        <v>122</v>
      </c>
      <c r="N813" t="s">
        <v>122</v>
      </c>
    </row>
    <row r="814" spans="1:14" x14ac:dyDescent="0.25">
      <c r="A814" t="s">
        <v>53</v>
      </c>
      <c r="B814" s="5" t="s">
        <v>45</v>
      </c>
      <c r="C814" t="s">
        <v>121</v>
      </c>
      <c r="D814">
        <v>17.399999999999999</v>
      </c>
      <c r="E814">
        <f t="shared" si="22"/>
        <v>17.399999999999999</v>
      </c>
      <c r="F814" t="s">
        <v>42</v>
      </c>
      <c r="G814" t="s">
        <v>42</v>
      </c>
      <c r="H814" t="s">
        <v>42</v>
      </c>
      <c r="I814" t="s">
        <v>42</v>
      </c>
      <c r="J814" t="s">
        <v>42</v>
      </c>
      <c r="K814" t="s">
        <v>42</v>
      </c>
      <c r="L814" t="s">
        <v>42</v>
      </c>
      <c r="M814" t="s">
        <v>122</v>
      </c>
      <c r="N814" t="s">
        <v>122</v>
      </c>
    </row>
    <row r="815" spans="1:14" x14ac:dyDescent="0.25">
      <c r="A815" t="s">
        <v>53</v>
      </c>
      <c r="B815" s="5" t="s">
        <v>45</v>
      </c>
      <c r="C815" t="s">
        <v>123</v>
      </c>
      <c r="D815">
        <v>10.8</v>
      </c>
      <c r="E815">
        <f t="shared" si="22"/>
        <v>10.8</v>
      </c>
      <c r="F815" t="s">
        <v>42</v>
      </c>
      <c r="G815" t="s">
        <v>42</v>
      </c>
      <c r="H815" t="s">
        <v>42</v>
      </c>
      <c r="I815" t="s">
        <v>42</v>
      </c>
      <c r="J815" t="s">
        <v>42</v>
      </c>
      <c r="K815" t="s">
        <v>42</v>
      </c>
      <c r="L815" t="s">
        <v>42</v>
      </c>
      <c r="M815" t="s">
        <v>122</v>
      </c>
      <c r="N815" t="s">
        <v>122</v>
      </c>
    </row>
    <row r="816" spans="1:14" x14ac:dyDescent="0.25">
      <c r="A816" t="s">
        <v>53</v>
      </c>
      <c r="B816" s="5" t="s">
        <v>45</v>
      </c>
      <c r="C816" t="s">
        <v>121</v>
      </c>
      <c r="D816">
        <v>41.1</v>
      </c>
      <c r="E816">
        <f t="shared" si="22"/>
        <v>41.1</v>
      </c>
      <c r="F816" t="s">
        <v>42</v>
      </c>
      <c r="G816" t="s">
        <v>42</v>
      </c>
      <c r="H816" t="s">
        <v>42</v>
      </c>
      <c r="I816" t="s">
        <v>42</v>
      </c>
      <c r="J816" t="s">
        <v>42</v>
      </c>
      <c r="K816" t="s">
        <v>42</v>
      </c>
      <c r="L816" t="s">
        <v>42</v>
      </c>
      <c r="M816" t="s">
        <v>122</v>
      </c>
      <c r="N816" t="s">
        <v>122</v>
      </c>
    </row>
    <row r="817" spans="1:14" x14ac:dyDescent="0.25">
      <c r="A817" t="s">
        <v>53</v>
      </c>
      <c r="B817" s="5" t="s">
        <v>45</v>
      </c>
      <c r="C817" t="s">
        <v>121</v>
      </c>
      <c r="D817">
        <v>13.9</v>
      </c>
      <c r="E817">
        <f t="shared" si="22"/>
        <v>13.9</v>
      </c>
      <c r="F817" t="s">
        <v>42</v>
      </c>
      <c r="G817" t="s">
        <v>42</v>
      </c>
      <c r="H817" t="s">
        <v>42</v>
      </c>
      <c r="I817" t="s">
        <v>42</v>
      </c>
      <c r="J817" t="s">
        <v>42</v>
      </c>
      <c r="K817" t="s">
        <v>42</v>
      </c>
      <c r="L817" t="s">
        <v>42</v>
      </c>
      <c r="M817" t="s">
        <v>122</v>
      </c>
      <c r="N817" t="s">
        <v>122</v>
      </c>
    </row>
    <row r="818" spans="1:14" x14ac:dyDescent="0.25">
      <c r="A818" t="s">
        <v>53</v>
      </c>
      <c r="B818" s="5" t="s">
        <v>45</v>
      </c>
      <c r="C818" t="s">
        <v>123</v>
      </c>
      <c r="D818">
        <v>13.7</v>
      </c>
      <c r="E818">
        <f t="shared" si="22"/>
        <v>13.7</v>
      </c>
      <c r="F818" t="s">
        <v>42</v>
      </c>
      <c r="G818" t="s">
        <v>42</v>
      </c>
      <c r="H818" t="s">
        <v>42</v>
      </c>
      <c r="I818" t="s">
        <v>42</v>
      </c>
      <c r="J818" t="s">
        <v>42</v>
      </c>
      <c r="K818" t="s">
        <v>42</v>
      </c>
      <c r="L818" t="s">
        <v>42</v>
      </c>
      <c r="M818" t="s">
        <v>122</v>
      </c>
      <c r="N818" t="s">
        <v>122</v>
      </c>
    </row>
    <row r="819" spans="1:14" x14ac:dyDescent="0.25">
      <c r="A819" t="s">
        <v>53</v>
      </c>
      <c r="B819" s="5" t="s">
        <v>45</v>
      </c>
      <c r="C819" t="s">
        <v>121</v>
      </c>
      <c r="D819">
        <v>20.399999999999999</v>
      </c>
      <c r="E819">
        <f t="shared" si="22"/>
        <v>20.399999999999999</v>
      </c>
      <c r="F819" t="s">
        <v>42</v>
      </c>
      <c r="G819" t="s">
        <v>42</v>
      </c>
      <c r="H819" t="s">
        <v>42</v>
      </c>
      <c r="I819" t="s">
        <v>42</v>
      </c>
      <c r="J819" t="s">
        <v>42</v>
      </c>
      <c r="K819" t="s">
        <v>42</v>
      </c>
      <c r="L819" t="s">
        <v>42</v>
      </c>
      <c r="M819" t="s">
        <v>122</v>
      </c>
      <c r="N819" t="s">
        <v>122</v>
      </c>
    </row>
    <row r="820" spans="1:14" x14ac:dyDescent="0.25">
      <c r="A820" t="s">
        <v>53</v>
      </c>
      <c r="B820" s="5" t="s">
        <v>45</v>
      </c>
      <c r="C820" t="s">
        <v>121</v>
      </c>
      <c r="D820">
        <v>18.2</v>
      </c>
      <c r="E820">
        <f t="shared" si="22"/>
        <v>18.2</v>
      </c>
      <c r="F820" t="s">
        <v>42</v>
      </c>
      <c r="G820" t="s">
        <v>42</v>
      </c>
      <c r="H820" t="s">
        <v>42</v>
      </c>
      <c r="I820" t="s">
        <v>42</v>
      </c>
      <c r="J820" t="s">
        <v>42</v>
      </c>
      <c r="K820" t="s">
        <v>42</v>
      </c>
      <c r="L820" t="s">
        <v>42</v>
      </c>
      <c r="M820" t="s">
        <v>122</v>
      </c>
      <c r="N820" t="s">
        <v>122</v>
      </c>
    </row>
    <row r="821" spans="1:14" x14ac:dyDescent="0.25">
      <c r="A821" t="s">
        <v>53</v>
      </c>
      <c r="B821" s="5" t="s">
        <v>45</v>
      </c>
      <c r="C821" t="s">
        <v>123</v>
      </c>
      <c r="D821">
        <v>19.100000000000001</v>
      </c>
      <c r="E821">
        <f t="shared" si="22"/>
        <v>19.100000000000001</v>
      </c>
      <c r="F821" t="s">
        <v>42</v>
      </c>
      <c r="G821" t="s">
        <v>42</v>
      </c>
      <c r="H821" t="s">
        <v>42</v>
      </c>
      <c r="I821" t="s">
        <v>42</v>
      </c>
      <c r="J821" t="s">
        <v>42</v>
      </c>
      <c r="K821" t="s">
        <v>42</v>
      </c>
      <c r="L821" t="s">
        <v>42</v>
      </c>
      <c r="M821" t="s">
        <v>122</v>
      </c>
      <c r="N821" t="s">
        <v>122</v>
      </c>
    </row>
    <row r="822" spans="1:14" x14ac:dyDescent="0.25">
      <c r="A822" t="s">
        <v>53</v>
      </c>
      <c r="B822" s="5" t="s">
        <v>45</v>
      </c>
      <c r="C822" t="s">
        <v>121</v>
      </c>
      <c r="D822">
        <v>15.1</v>
      </c>
      <c r="E822">
        <f t="shared" si="22"/>
        <v>15.1</v>
      </c>
      <c r="F822" t="s">
        <v>42</v>
      </c>
      <c r="G822" t="s">
        <v>42</v>
      </c>
      <c r="H822" t="s">
        <v>42</v>
      </c>
      <c r="I822" t="s">
        <v>42</v>
      </c>
      <c r="J822" t="s">
        <v>42</v>
      </c>
      <c r="K822" t="s">
        <v>42</v>
      </c>
      <c r="L822" t="s">
        <v>42</v>
      </c>
      <c r="M822" t="s">
        <v>122</v>
      </c>
      <c r="N822" t="s">
        <v>122</v>
      </c>
    </row>
    <row r="823" spans="1:14" x14ac:dyDescent="0.25">
      <c r="A823" t="s">
        <v>53</v>
      </c>
      <c r="B823" s="5" t="s">
        <v>45</v>
      </c>
      <c r="C823" t="s">
        <v>121</v>
      </c>
      <c r="D823">
        <v>25.3</v>
      </c>
      <c r="E823">
        <f t="shared" si="22"/>
        <v>25.3</v>
      </c>
      <c r="F823" t="s">
        <v>42</v>
      </c>
      <c r="G823" t="s">
        <v>42</v>
      </c>
      <c r="H823" t="s">
        <v>42</v>
      </c>
      <c r="I823" t="s">
        <v>42</v>
      </c>
      <c r="J823" t="s">
        <v>42</v>
      </c>
      <c r="K823" t="s">
        <v>42</v>
      </c>
      <c r="L823" t="s">
        <v>42</v>
      </c>
      <c r="M823" t="s">
        <v>122</v>
      </c>
      <c r="N823" t="s">
        <v>122</v>
      </c>
    </row>
    <row r="824" spans="1:14" x14ac:dyDescent="0.25">
      <c r="A824" t="s">
        <v>53</v>
      </c>
      <c r="B824" s="5" t="s">
        <v>45</v>
      </c>
      <c r="C824" t="s">
        <v>121</v>
      </c>
      <c r="D824">
        <v>22.1</v>
      </c>
      <c r="E824">
        <f t="shared" si="22"/>
        <v>22.1</v>
      </c>
      <c r="F824" t="s">
        <v>42</v>
      </c>
      <c r="G824" t="s">
        <v>42</v>
      </c>
      <c r="H824" t="s">
        <v>42</v>
      </c>
      <c r="I824" t="s">
        <v>42</v>
      </c>
      <c r="J824" t="s">
        <v>42</v>
      </c>
      <c r="K824" t="s">
        <v>42</v>
      </c>
      <c r="L824" t="s">
        <v>42</v>
      </c>
      <c r="M824" t="s">
        <v>122</v>
      </c>
      <c r="N824" t="s">
        <v>122</v>
      </c>
    </row>
    <row r="825" spans="1:14" x14ac:dyDescent="0.25">
      <c r="A825" t="s">
        <v>53</v>
      </c>
      <c r="B825" s="5" t="s">
        <v>45</v>
      </c>
      <c r="C825" t="s">
        <v>121</v>
      </c>
      <c r="D825">
        <v>14.2</v>
      </c>
      <c r="E825">
        <f t="shared" si="22"/>
        <v>14.2</v>
      </c>
      <c r="F825" t="s">
        <v>42</v>
      </c>
      <c r="G825" t="s">
        <v>42</v>
      </c>
      <c r="H825" t="s">
        <v>42</v>
      </c>
      <c r="I825" t="s">
        <v>42</v>
      </c>
      <c r="J825" t="s">
        <v>42</v>
      </c>
      <c r="K825" t="s">
        <v>42</v>
      </c>
      <c r="L825" t="s">
        <v>42</v>
      </c>
      <c r="M825" t="s">
        <v>122</v>
      </c>
      <c r="N825" t="s">
        <v>122</v>
      </c>
    </row>
    <row r="826" spans="1:14" x14ac:dyDescent="0.25">
      <c r="A826" t="s">
        <v>53</v>
      </c>
      <c r="B826" s="5" t="s">
        <v>45</v>
      </c>
      <c r="C826" t="s">
        <v>121</v>
      </c>
      <c r="D826">
        <v>8.4</v>
      </c>
      <c r="E826">
        <f t="shared" si="22"/>
        <v>8.4</v>
      </c>
      <c r="F826" t="s">
        <v>42</v>
      </c>
      <c r="G826" t="s">
        <v>42</v>
      </c>
      <c r="H826" t="s">
        <v>42</v>
      </c>
      <c r="I826" t="s">
        <v>42</v>
      </c>
      <c r="J826" t="s">
        <v>42</v>
      </c>
      <c r="K826" t="s">
        <v>42</v>
      </c>
      <c r="L826" t="s">
        <v>42</v>
      </c>
      <c r="M826" t="s">
        <v>122</v>
      </c>
      <c r="N826" t="s">
        <v>122</v>
      </c>
    </row>
    <row r="827" spans="1:14" x14ac:dyDescent="0.25">
      <c r="A827" t="s">
        <v>53</v>
      </c>
      <c r="B827" s="5" t="s">
        <v>45</v>
      </c>
      <c r="C827" t="s">
        <v>121</v>
      </c>
      <c r="D827">
        <v>23.6</v>
      </c>
      <c r="E827">
        <f t="shared" si="22"/>
        <v>23.6</v>
      </c>
      <c r="F827" t="s">
        <v>42</v>
      </c>
      <c r="G827" t="s">
        <v>42</v>
      </c>
      <c r="H827" t="s">
        <v>42</v>
      </c>
      <c r="I827" t="s">
        <v>42</v>
      </c>
      <c r="J827" t="s">
        <v>42</v>
      </c>
      <c r="K827" t="s">
        <v>42</v>
      </c>
      <c r="L827" t="s">
        <v>42</v>
      </c>
      <c r="M827" t="s">
        <v>122</v>
      </c>
      <c r="N827" t="s">
        <v>122</v>
      </c>
    </row>
    <row r="828" spans="1:14" x14ac:dyDescent="0.25">
      <c r="A828" t="s">
        <v>53</v>
      </c>
      <c r="B828" s="5" t="s">
        <v>45</v>
      </c>
      <c r="C828" t="s">
        <v>121</v>
      </c>
      <c r="D828">
        <v>22.3</v>
      </c>
      <c r="E828">
        <f t="shared" si="22"/>
        <v>22.3</v>
      </c>
      <c r="F828" t="s">
        <v>42</v>
      </c>
      <c r="G828" t="s">
        <v>42</v>
      </c>
      <c r="H828" t="s">
        <v>42</v>
      </c>
      <c r="I828" t="s">
        <v>42</v>
      </c>
      <c r="J828" t="s">
        <v>42</v>
      </c>
      <c r="K828" t="s">
        <v>42</v>
      </c>
      <c r="L828" t="s">
        <v>42</v>
      </c>
      <c r="M828" t="s">
        <v>122</v>
      </c>
      <c r="N828" t="s">
        <v>122</v>
      </c>
    </row>
    <row r="829" spans="1:14" x14ac:dyDescent="0.25">
      <c r="A829" t="s">
        <v>53</v>
      </c>
      <c r="B829" s="5" t="s">
        <v>45</v>
      </c>
      <c r="C829" t="s">
        <v>121</v>
      </c>
      <c r="D829">
        <v>17.899999999999999</v>
      </c>
      <c r="E829">
        <f t="shared" si="22"/>
        <v>17.899999999999999</v>
      </c>
      <c r="F829" t="s">
        <v>42</v>
      </c>
      <c r="G829" t="s">
        <v>42</v>
      </c>
      <c r="H829" t="s">
        <v>42</v>
      </c>
      <c r="I829" t="s">
        <v>42</v>
      </c>
      <c r="J829" t="s">
        <v>42</v>
      </c>
      <c r="K829" t="s">
        <v>42</v>
      </c>
      <c r="L829" t="s">
        <v>42</v>
      </c>
      <c r="M829" t="s">
        <v>122</v>
      </c>
      <c r="N829" t="s">
        <v>122</v>
      </c>
    </row>
    <row r="830" spans="1:14" x14ac:dyDescent="0.25">
      <c r="A830" t="s">
        <v>53</v>
      </c>
      <c r="B830" s="5" t="s">
        <v>45</v>
      </c>
      <c r="C830" t="s">
        <v>121</v>
      </c>
      <c r="D830">
        <v>16.899999999999999</v>
      </c>
      <c r="E830">
        <f t="shared" si="22"/>
        <v>16.899999999999999</v>
      </c>
      <c r="F830" t="s">
        <v>42</v>
      </c>
      <c r="G830" t="s">
        <v>42</v>
      </c>
      <c r="H830" t="s">
        <v>42</v>
      </c>
      <c r="I830" t="s">
        <v>42</v>
      </c>
      <c r="J830" t="s">
        <v>42</v>
      </c>
      <c r="K830" t="s">
        <v>42</v>
      </c>
      <c r="L830" t="s">
        <v>42</v>
      </c>
      <c r="M830" t="s">
        <v>122</v>
      </c>
      <c r="N830" t="s">
        <v>122</v>
      </c>
    </row>
    <row r="831" spans="1:14" x14ac:dyDescent="0.25">
      <c r="A831" t="s">
        <v>53</v>
      </c>
      <c r="B831" s="5" t="s">
        <v>45</v>
      </c>
      <c r="C831" t="s">
        <v>123</v>
      </c>
      <c r="D831">
        <v>10</v>
      </c>
      <c r="E831">
        <f t="shared" si="22"/>
        <v>10</v>
      </c>
      <c r="F831" t="s">
        <v>42</v>
      </c>
      <c r="G831" t="s">
        <v>42</v>
      </c>
      <c r="H831" t="s">
        <v>42</v>
      </c>
      <c r="I831" t="s">
        <v>42</v>
      </c>
      <c r="J831" t="s">
        <v>42</v>
      </c>
      <c r="K831" t="s">
        <v>42</v>
      </c>
      <c r="L831" t="s">
        <v>42</v>
      </c>
      <c r="M831" t="s">
        <v>122</v>
      </c>
      <c r="N831" t="s">
        <v>122</v>
      </c>
    </row>
    <row r="832" spans="1:14" x14ac:dyDescent="0.25">
      <c r="A832" t="s">
        <v>53</v>
      </c>
      <c r="B832" s="5" t="s">
        <v>45</v>
      </c>
      <c r="C832" t="s">
        <v>123</v>
      </c>
      <c r="D832">
        <v>10.199999999999999</v>
      </c>
      <c r="E832">
        <f t="shared" si="22"/>
        <v>10.199999999999999</v>
      </c>
      <c r="F832" t="s">
        <v>42</v>
      </c>
      <c r="G832" t="s">
        <v>42</v>
      </c>
      <c r="H832" t="s">
        <v>42</v>
      </c>
      <c r="I832" t="s">
        <v>42</v>
      </c>
      <c r="J832" t="s">
        <v>42</v>
      </c>
      <c r="K832" t="s">
        <v>42</v>
      </c>
      <c r="L832" t="s">
        <v>42</v>
      </c>
      <c r="M832" t="s">
        <v>122</v>
      </c>
      <c r="N832" t="s">
        <v>122</v>
      </c>
    </row>
    <row r="833" spans="1:14" x14ac:dyDescent="0.25">
      <c r="A833" t="s">
        <v>53</v>
      </c>
      <c r="B833" s="5" t="s">
        <v>45</v>
      </c>
      <c r="C833" t="s">
        <v>123</v>
      </c>
      <c r="D833">
        <v>12.6</v>
      </c>
      <c r="E833">
        <f t="shared" si="22"/>
        <v>12.6</v>
      </c>
      <c r="F833" t="s">
        <v>42</v>
      </c>
      <c r="G833" t="s">
        <v>42</v>
      </c>
      <c r="H833" t="s">
        <v>42</v>
      </c>
      <c r="I833" t="s">
        <v>42</v>
      </c>
      <c r="J833" t="s">
        <v>42</v>
      </c>
      <c r="K833" t="s">
        <v>42</v>
      </c>
      <c r="L833" t="s">
        <v>42</v>
      </c>
      <c r="M833" t="s">
        <v>122</v>
      </c>
      <c r="N833" t="s">
        <v>122</v>
      </c>
    </row>
    <row r="834" spans="1:14" x14ac:dyDescent="0.25">
      <c r="A834" t="s">
        <v>56</v>
      </c>
      <c r="B834" s="5" t="s">
        <v>45</v>
      </c>
      <c r="C834" t="s">
        <v>121</v>
      </c>
      <c r="D834">
        <v>21.7</v>
      </c>
      <c r="E834">
        <f t="shared" si="22"/>
        <v>21.7</v>
      </c>
      <c r="F834" t="s">
        <v>42</v>
      </c>
      <c r="G834" t="s">
        <v>42</v>
      </c>
      <c r="H834" t="s">
        <v>42</v>
      </c>
      <c r="I834" t="s">
        <v>42</v>
      </c>
      <c r="J834" t="s">
        <v>42</v>
      </c>
      <c r="K834" t="s">
        <v>42</v>
      </c>
      <c r="L834" t="s">
        <v>42</v>
      </c>
      <c r="M834" t="s">
        <v>122</v>
      </c>
      <c r="N834" t="s">
        <v>122</v>
      </c>
    </row>
    <row r="835" spans="1:14" x14ac:dyDescent="0.25">
      <c r="A835" t="s">
        <v>56</v>
      </c>
      <c r="B835" s="5" t="s">
        <v>45</v>
      </c>
      <c r="C835" t="s">
        <v>121</v>
      </c>
      <c r="D835">
        <v>31.9</v>
      </c>
      <c r="E835">
        <f t="shared" si="22"/>
        <v>31.9</v>
      </c>
      <c r="F835" t="s">
        <v>42</v>
      </c>
      <c r="G835" t="s">
        <v>42</v>
      </c>
      <c r="H835" t="s">
        <v>42</v>
      </c>
      <c r="I835" t="s">
        <v>42</v>
      </c>
      <c r="J835" t="s">
        <v>42</v>
      </c>
      <c r="K835" t="s">
        <v>42</v>
      </c>
      <c r="L835" t="s">
        <v>42</v>
      </c>
      <c r="M835" t="s">
        <v>122</v>
      </c>
      <c r="N835" t="s">
        <v>122</v>
      </c>
    </row>
    <row r="836" spans="1:14" x14ac:dyDescent="0.25">
      <c r="A836" t="s">
        <v>56</v>
      </c>
      <c r="B836" s="5" t="s">
        <v>45</v>
      </c>
      <c r="C836" t="s">
        <v>121</v>
      </c>
      <c r="D836">
        <v>21</v>
      </c>
      <c r="E836">
        <f t="shared" si="22"/>
        <v>21</v>
      </c>
      <c r="F836" t="s">
        <v>42</v>
      </c>
      <c r="G836" t="s">
        <v>42</v>
      </c>
      <c r="H836" t="s">
        <v>42</v>
      </c>
      <c r="I836" t="s">
        <v>42</v>
      </c>
      <c r="J836" t="s">
        <v>42</v>
      </c>
      <c r="K836" t="s">
        <v>42</v>
      </c>
      <c r="L836" t="s">
        <v>42</v>
      </c>
      <c r="M836" t="s">
        <v>122</v>
      </c>
      <c r="N836" t="s">
        <v>122</v>
      </c>
    </row>
    <row r="837" spans="1:14" x14ac:dyDescent="0.25">
      <c r="A837" t="s">
        <v>56</v>
      </c>
      <c r="B837" s="5" t="s">
        <v>45</v>
      </c>
      <c r="C837" t="s">
        <v>121</v>
      </c>
      <c r="D837">
        <v>25.6</v>
      </c>
      <c r="E837">
        <f t="shared" si="22"/>
        <v>25.6</v>
      </c>
      <c r="F837" t="s">
        <v>42</v>
      </c>
      <c r="G837" t="s">
        <v>42</v>
      </c>
      <c r="H837" t="s">
        <v>42</v>
      </c>
      <c r="I837" t="s">
        <v>42</v>
      </c>
      <c r="J837" t="s">
        <v>42</v>
      </c>
      <c r="K837" t="s">
        <v>42</v>
      </c>
      <c r="L837" t="s">
        <v>42</v>
      </c>
      <c r="M837" t="s">
        <v>122</v>
      </c>
      <c r="N837" t="s">
        <v>122</v>
      </c>
    </row>
    <row r="838" spans="1:14" x14ac:dyDescent="0.25">
      <c r="A838" t="s">
        <v>56</v>
      </c>
      <c r="B838" s="5" t="s">
        <v>45</v>
      </c>
      <c r="C838" t="s">
        <v>123</v>
      </c>
      <c r="D838">
        <v>12.8</v>
      </c>
      <c r="E838">
        <f t="shared" si="22"/>
        <v>12.8</v>
      </c>
      <c r="F838" t="s">
        <v>42</v>
      </c>
      <c r="G838" t="s">
        <v>42</v>
      </c>
      <c r="H838" t="s">
        <v>42</v>
      </c>
      <c r="I838" t="s">
        <v>42</v>
      </c>
      <c r="J838" t="s">
        <v>42</v>
      </c>
      <c r="K838" t="s">
        <v>42</v>
      </c>
      <c r="L838" t="s">
        <v>42</v>
      </c>
      <c r="M838" t="s">
        <v>122</v>
      </c>
      <c r="N838" t="s">
        <v>122</v>
      </c>
    </row>
    <row r="839" spans="1:14" x14ac:dyDescent="0.25">
      <c r="A839" t="s">
        <v>56</v>
      </c>
      <c r="B839" s="5" t="s">
        <v>45</v>
      </c>
      <c r="C839" t="s">
        <v>121</v>
      </c>
      <c r="D839">
        <v>51.4</v>
      </c>
      <c r="E839">
        <f t="shared" ref="E839:E853" si="23">D839</f>
        <v>51.4</v>
      </c>
      <c r="F839" t="s">
        <v>42</v>
      </c>
      <c r="G839" t="s">
        <v>42</v>
      </c>
      <c r="H839" t="s">
        <v>42</v>
      </c>
      <c r="I839" t="s">
        <v>42</v>
      </c>
      <c r="J839" t="s">
        <v>42</v>
      </c>
      <c r="K839" t="s">
        <v>42</v>
      </c>
      <c r="L839" t="s">
        <v>42</v>
      </c>
      <c r="M839" t="s">
        <v>122</v>
      </c>
      <c r="N839" t="s">
        <v>122</v>
      </c>
    </row>
    <row r="840" spans="1:14" x14ac:dyDescent="0.25">
      <c r="A840" t="s">
        <v>56</v>
      </c>
      <c r="B840" s="5" t="s">
        <v>45</v>
      </c>
      <c r="C840" t="s">
        <v>121</v>
      </c>
      <c r="D840">
        <v>21</v>
      </c>
      <c r="E840">
        <f t="shared" si="23"/>
        <v>21</v>
      </c>
      <c r="F840" t="s">
        <v>42</v>
      </c>
      <c r="G840" t="s">
        <v>42</v>
      </c>
      <c r="H840" t="s">
        <v>42</v>
      </c>
      <c r="I840" t="s">
        <v>42</v>
      </c>
      <c r="J840" t="s">
        <v>42</v>
      </c>
      <c r="K840" t="s">
        <v>42</v>
      </c>
      <c r="L840" t="s">
        <v>42</v>
      </c>
      <c r="M840" t="s">
        <v>122</v>
      </c>
      <c r="N840" t="s">
        <v>122</v>
      </c>
    </row>
    <row r="841" spans="1:14" x14ac:dyDescent="0.25">
      <c r="A841" t="s">
        <v>56</v>
      </c>
      <c r="B841" s="5" t="s">
        <v>45</v>
      </c>
      <c r="C841" t="s">
        <v>123</v>
      </c>
      <c r="D841">
        <v>9.3000000000000007</v>
      </c>
      <c r="E841">
        <f t="shared" si="23"/>
        <v>9.3000000000000007</v>
      </c>
      <c r="F841" t="s">
        <v>42</v>
      </c>
      <c r="G841" t="s">
        <v>42</v>
      </c>
      <c r="H841" t="s">
        <v>42</v>
      </c>
      <c r="I841" t="s">
        <v>42</v>
      </c>
      <c r="J841" t="s">
        <v>42</v>
      </c>
      <c r="K841" t="s">
        <v>42</v>
      </c>
      <c r="L841" t="s">
        <v>42</v>
      </c>
      <c r="M841" t="s">
        <v>122</v>
      </c>
      <c r="N841" t="s">
        <v>122</v>
      </c>
    </row>
    <row r="842" spans="1:14" x14ac:dyDescent="0.25">
      <c r="A842" t="s">
        <v>56</v>
      </c>
      <c r="B842" s="5" t="s">
        <v>45</v>
      </c>
      <c r="C842" t="s">
        <v>121</v>
      </c>
      <c r="D842">
        <v>29.1</v>
      </c>
      <c r="E842">
        <f t="shared" si="23"/>
        <v>29.1</v>
      </c>
      <c r="F842" t="s">
        <v>42</v>
      </c>
      <c r="G842" t="s">
        <v>42</v>
      </c>
      <c r="H842" t="s">
        <v>42</v>
      </c>
      <c r="I842" t="s">
        <v>42</v>
      </c>
      <c r="J842" t="s">
        <v>42</v>
      </c>
      <c r="K842" t="s">
        <v>42</v>
      </c>
      <c r="L842" t="s">
        <v>42</v>
      </c>
      <c r="M842" t="s">
        <v>122</v>
      </c>
      <c r="N842" t="s">
        <v>122</v>
      </c>
    </row>
    <row r="843" spans="1:14" x14ac:dyDescent="0.25">
      <c r="A843" t="s">
        <v>56</v>
      </c>
      <c r="B843" s="5" t="s">
        <v>45</v>
      </c>
      <c r="C843" t="s">
        <v>123</v>
      </c>
      <c r="D843">
        <v>13.9</v>
      </c>
      <c r="E843">
        <f t="shared" si="23"/>
        <v>13.9</v>
      </c>
      <c r="F843" t="s">
        <v>42</v>
      </c>
      <c r="G843" t="s">
        <v>42</v>
      </c>
      <c r="H843" t="s">
        <v>42</v>
      </c>
      <c r="I843" t="s">
        <v>42</v>
      </c>
      <c r="J843" t="s">
        <v>42</v>
      </c>
      <c r="K843" t="s">
        <v>42</v>
      </c>
      <c r="L843" t="s">
        <v>42</v>
      </c>
      <c r="M843" t="s">
        <v>122</v>
      </c>
      <c r="N843" t="s">
        <v>122</v>
      </c>
    </row>
    <row r="844" spans="1:14" x14ac:dyDescent="0.25">
      <c r="A844" t="s">
        <v>56</v>
      </c>
      <c r="B844" s="5" t="s">
        <v>45</v>
      </c>
      <c r="C844" t="s">
        <v>121</v>
      </c>
      <c r="D844">
        <v>41.6</v>
      </c>
      <c r="E844">
        <f t="shared" si="23"/>
        <v>41.6</v>
      </c>
      <c r="F844" t="s">
        <v>42</v>
      </c>
      <c r="G844" t="s">
        <v>42</v>
      </c>
      <c r="H844" t="s">
        <v>42</v>
      </c>
      <c r="I844" t="s">
        <v>42</v>
      </c>
      <c r="J844" t="s">
        <v>42</v>
      </c>
      <c r="K844" t="s">
        <v>42</v>
      </c>
      <c r="L844" t="s">
        <v>42</v>
      </c>
      <c r="M844" t="s">
        <v>122</v>
      </c>
      <c r="N844" t="s">
        <v>122</v>
      </c>
    </row>
    <row r="845" spans="1:14" x14ac:dyDescent="0.25">
      <c r="A845" t="s">
        <v>56</v>
      </c>
      <c r="B845" s="5" t="s">
        <v>45</v>
      </c>
      <c r="C845" t="s">
        <v>121</v>
      </c>
      <c r="D845">
        <v>30.5</v>
      </c>
      <c r="E845">
        <f t="shared" si="23"/>
        <v>30.5</v>
      </c>
      <c r="F845" t="s">
        <v>42</v>
      </c>
      <c r="G845" t="s">
        <v>42</v>
      </c>
      <c r="H845" t="s">
        <v>42</v>
      </c>
      <c r="I845" t="s">
        <v>42</v>
      </c>
      <c r="J845" t="s">
        <v>42</v>
      </c>
      <c r="K845" t="s">
        <v>42</v>
      </c>
      <c r="L845" t="s">
        <v>42</v>
      </c>
      <c r="M845" t="s">
        <v>122</v>
      </c>
      <c r="N845" t="s">
        <v>122</v>
      </c>
    </row>
    <row r="846" spans="1:14" x14ac:dyDescent="0.25">
      <c r="A846" t="s">
        <v>56</v>
      </c>
      <c r="B846" s="5" t="s">
        <v>45</v>
      </c>
      <c r="C846" t="s">
        <v>121</v>
      </c>
      <c r="D846">
        <v>14.8</v>
      </c>
      <c r="E846">
        <f t="shared" si="23"/>
        <v>14.8</v>
      </c>
      <c r="F846" t="s">
        <v>42</v>
      </c>
      <c r="G846" t="s">
        <v>42</v>
      </c>
      <c r="H846" t="s">
        <v>42</v>
      </c>
      <c r="I846" t="s">
        <v>42</v>
      </c>
      <c r="J846" t="s">
        <v>42</v>
      </c>
      <c r="K846" t="s">
        <v>42</v>
      </c>
      <c r="L846" t="s">
        <v>42</v>
      </c>
      <c r="M846" t="s">
        <v>122</v>
      </c>
      <c r="N846" t="s">
        <v>122</v>
      </c>
    </row>
    <row r="847" spans="1:14" x14ac:dyDescent="0.25">
      <c r="A847" t="s">
        <v>56</v>
      </c>
      <c r="B847" s="5" t="s">
        <v>45</v>
      </c>
      <c r="C847" t="s">
        <v>123</v>
      </c>
      <c r="D847">
        <v>7.9</v>
      </c>
      <c r="E847">
        <f t="shared" si="23"/>
        <v>7.9</v>
      </c>
      <c r="F847" t="s">
        <v>42</v>
      </c>
      <c r="G847" t="s">
        <v>42</v>
      </c>
      <c r="H847" t="s">
        <v>42</v>
      </c>
      <c r="I847" t="s">
        <v>42</v>
      </c>
      <c r="J847" t="s">
        <v>42</v>
      </c>
      <c r="K847" t="s">
        <v>42</v>
      </c>
      <c r="L847" t="s">
        <v>42</v>
      </c>
      <c r="M847" t="s">
        <v>122</v>
      </c>
      <c r="N847" t="s">
        <v>122</v>
      </c>
    </row>
    <row r="848" spans="1:14" x14ac:dyDescent="0.25">
      <c r="A848" t="s">
        <v>56</v>
      </c>
      <c r="B848" s="5" t="s">
        <v>45</v>
      </c>
      <c r="C848" t="s">
        <v>123</v>
      </c>
      <c r="D848">
        <v>8.4</v>
      </c>
      <c r="E848">
        <f t="shared" si="23"/>
        <v>8.4</v>
      </c>
      <c r="F848" t="s">
        <v>42</v>
      </c>
      <c r="G848" t="s">
        <v>42</v>
      </c>
      <c r="H848" t="s">
        <v>42</v>
      </c>
      <c r="I848" t="s">
        <v>42</v>
      </c>
      <c r="J848" t="s">
        <v>42</v>
      </c>
      <c r="K848" t="s">
        <v>42</v>
      </c>
      <c r="L848" t="s">
        <v>42</v>
      </c>
      <c r="M848" t="s">
        <v>122</v>
      </c>
      <c r="N848" t="s">
        <v>122</v>
      </c>
    </row>
    <row r="849" spans="1:14" x14ac:dyDescent="0.25">
      <c r="A849" t="s">
        <v>56</v>
      </c>
      <c r="B849" s="5" t="s">
        <v>45</v>
      </c>
      <c r="C849" t="s">
        <v>123</v>
      </c>
      <c r="D849">
        <v>10.199999999999999</v>
      </c>
      <c r="E849">
        <f t="shared" si="23"/>
        <v>10.199999999999999</v>
      </c>
      <c r="F849" t="s">
        <v>42</v>
      </c>
      <c r="G849" t="s">
        <v>42</v>
      </c>
      <c r="H849" t="s">
        <v>42</v>
      </c>
      <c r="I849" t="s">
        <v>42</v>
      </c>
      <c r="J849" t="s">
        <v>42</v>
      </c>
      <c r="K849" t="s">
        <v>42</v>
      </c>
      <c r="L849" t="s">
        <v>42</v>
      </c>
      <c r="M849" t="s">
        <v>122</v>
      </c>
      <c r="N849" t="s">
        <v>122</v>
      </c>
    </row>
    <row r="850" spans="1:14" x14ac:dyDescent="0.25">
      <c r="A850" t="s">
        <v>56</v>
      </c>
      <c r="B850" s="5" t="s">
        <v>45</v>
      </c>
      <c r="C850" t="s">
        <v>121</v>
      </c>
      <c r="D850">
        <v>31.7</v>
      </c>
      <c r="E850">
        <f t="shared" si="23"/>
        <v>31.7</v>
      </c>
      <c r="F850" t="s">
        <v>42</v>
      </c>
      <c r="G850" t="s">
        <v>42</v>
      </c>
      <c r="H850" t="s">
        <v>42</v>
      </c>
      <c r="I850" t="s">
        <v>42</v>
      </c>
      <c r="J850" t="s">
        <v>42</v>
      </c>
      <c r="K850" t="s">
        <v>42</v>
      </c>
      <c r="L850" t="s">
        <v>42</v>
      </c>
      <c r="M850" t="s">
        <v>122</v>
      </c>
      <c r="N850" t="s">
        <v>122</v>
      </c>
    </row>
    <row r="851" spans="1:14" x14ac:dyDescent="0.25">
      <c r="A851" t="s">
        <v>56</v>
      </c>
      <c r="B851" s="5" t="s">
        <v>45</v>
      </c>
      <c r="C851" t="s">
        <v>123</v>
      </c>
      <c r="D851">
        <v>22.4</v>
      </c>
      <c r="E851">
        <f t="shared" si="23"/>
        <v>22.4</v>
      </c>
      <c r="F851" t="s">
        <v>42</v>
      </c>
      <c r="G851" t="s">
        <v>42</v>
      </c>
      <c r="H851" t="s">
        <v>42</v>
      </c>
      <c r="I851" t="s">
        <v>42</v>
      </c>
      <c r="J851" t="s">
        <v>42</v>
      </c>
      <c r="K851" t="s">
        <v>42</v>
      </c>
      <c r="L851" t="s">
        <v>42</v>
      </c>
      <c r="M851" t="s">
        <v>122</v>
      </c>
      <c r="N851" t="s">
        <v>122</v>
      </c>
    </row>
    <row r="852" spans="1:14" x14ac:dyDescent="0.25">
      <c r="A852" t="s">
        <v>56</v>
      </c>
      <c r="B852" s="5" t="s">
        <v>45</v>
      </c>
      <c r="C852" t="s">
        <v>121</v>
      </c>
      <c r="D852">
        <v>20.6</v>
      </c>
      <c r="E852">
        <f t="shared" si="23"/>
        <v>20.6</v>
      </c>
      <c r="F852" t="s">
        <v>42</v>
      </c>
      <c r="G852" t="s">
        <v>42</v>
      </c>
      <c r="H852" t="s">
        <v>42</v>
      </c>
      <c r="I852" t="s">
        <v>42</v>
      </c>
      <c r="J852" t="s">
        <v>42</v>
      </c>
      <c r="K852" t="s">
        <v>42</v>
      </c>
      <c r="L852" t="s">
        <v>42</v>
      </c>
      <c r="M852" t="s">
        <v>122</v>
      </c>
      <c r="N852" t="s">
        <v>122</v>
      </c>
    </row>
    <row r="853" spans="1:14" x14ac:dyDescent="0.25">
      <c r="A853" t="s">
        <v>56</v>
      </c>
      <c r="B853" s="5" t="s">
        <v>45</v>
      </c>
      <c r="C853" t="s">
        <v>121</v>
      </c>
      <c r="D853">
        <v>31</v>
      </c>
      <c r="E853">
        <f t="shared" si="23"/>
        <v>31</v>
      </c>
      <c r="F853" t="s">
        <v>42</v>
      </c>
      <c r="G853" t="s">
        <v>42</v>
      </c>
      <c r="H853" t="s">
        <v>42</v>
      </c>
      <c r="I853" t="s">
        <v>42</v>
      </c>
      <c r="J853" t="s">
        <v>42</v>
      </c>
      <c r="K853" t="s">
        <v>42</v>
      </c>
      <c r="L853" t="s">
        <v>42</v>
      </c>
      <c r="M853" t="s">
        <v>122</v>
      </c>
      <c r="N853" t="s">
        <v>122</v>
      </c>
    </row>
    <row r="854" spans="1:14" x14ac:dyDescent="0.25">
      <c r="A854" t="s">
        <v>56</v>
      </c>
      <c r="B854" s="5" t="s">
        <v>45</v>
      </c>
      <c r="C854" t="s">
        <v>121</v>
      </c>
      <c r="D854">
        <f>26.4+29.6+24.6+8.4+10</f>
        <v>99</v>
      </c>
      <c r="F854" t="s">
        <v>42</v>
      </c>
      <c r="G854" t="s">
        <v>42</v>
      </c>
      <c r="H854" t="s">
        <v>42</v>
      </c>
      <c r="I854" t="s">
        <v>42</v>
      </c>
      <c r="J854" t="s">
        <v>42</v>
      </c>
      <c r="K854" t="s">
        <v>42</v>
      </c>
      <c r="L854" t="s">
        <v>42</v>
      </c>
      <c r="M854" t="s">
        <v>129</v>
      </c>
      <c r="N854" t="s">
        <v>122</v>
      </c>
    </row>
    <row r="855" spans="1:14" x14ac:dyDescent="0.25">
      <c r="A855" t="s">
        <v>56</v>
      </c>
      <c r="B855" s="5" t="s">
        <v>45</v>
      </c>
      <c r="C855" t="s">
        <v>121</v>
      </c>
      <c r="D855">
        <v>25.5</v>
      </c>
      <c r="E855">
        <f t="shared" ref="E855:E859" si="24">D855</f>
        <v>25.5</v>
      </c>
      <c r="F855" t="s">
        <v>42</v>
      </c>
      <c r="G855" t="s">
        <v>42</v>
      </c>
      <c r="H855" t="s">
        <v>42</v>
      </c>
      <c r="I855" t="s">
        <v>42</v>
      </c>
      <c r="J855" t="s">
        <v>42</v>
      </c>
      <c r="K855" t="s">
        <v>42</v>
      </c>
      <c r="L855" t="s">
        <v>42</v>
      </c>
      <c r="M855" t="s">
        <v>122</v>
      </c>
      <c r="N855" t="s">
        <v>122</v>
      </c>
    </row>
    <row r="856" spans="1:14" x14ac:dyDescent="0.25">
      <c r="A856" t="s">
        <v>56</v>
      </c>
      <c r="B856" s="5" t="s">
        <v>45</v>
      </c>
      <c r="C856" t="s">
        <v>121</v>
      </c>
      <c r="D856">
        <v>24.6</v>
      </c>
      <c r="E856">
        <f t="shared" si="24"/>
        <v>24.6</v>
      </c>
      <c r="F856" t="s">
        <v>42</v>
      </c>
      <c r="G856" t="s">
        <v>42</v>
      </c>
      <c r="H856" t="s">
        <v>42</v>
      </c>
      <c r="I856" t="s">
        <v>42</v>
      </c>
      <c r="J856" t="s">
        <v>42</v>
      </c>
      <c r="K856" t="s">
        <v>42</v>
      </c>
      <c r="L856" t="s">
        <v>42</v>
      </c>
      <c r="M856" t="s">
        <v>122</v>
      </c>
      <c r="N856" t="s">
        <v>122</v>
      </c>
    </row>
    <row r="857" spans="1:14" x14ac:dyDescent="0.25">
      <c r="A857" t="s">
        <v>56</v>
      </c>
      <c r="B857" s="5" t="s">
        <v>45</v>
      </c>
      <c r="C857" t="s">
        <v>123</v>
      </c>
      <c r="D857">
        <v>14.3</v>
      </c>
      <c r="E857">
        <f t="shared" si="24"/>
        <v>14.3</v>
      </c>
      <c r="F857" t="s">
        <v>42</v>
      </c>
      <c r="G857" t="s">
        <v>42</v>
      </c>
      <c r="H857" t="s">
        <v>42</v>
      </c>
      <c r="I857" t="s">
        <v>42</v>
      </c>
      <c r="J857" t="s">
        <v>42</v>
      </c>
      <c r="K857" t="s">
        <v>42</v>
      </c>
      <c r="L857" t="s">
        <v>42</v>
      </c>
      <c r="M857" t="s">
        <v>122</v>
      </c>
      <c r="N857" t="s">
        <v>122</v>
      </c>
    </row>
    <row r="858" spans="1:14" x14ac:dyDescent="0.25">
      <c r="A858" t="s">
        <v>56</v>
      </c>
      <c r="B858" s="5" t="s">
        <v>45</v>
      </c>
      <c r="C858" t="s">
        <v>123</v>
      </c>
      <c r="D858">
        <v>11.3</v>
      </c>
      <c r="E858">
        <f t="shared" si="24"/>
        <v>11.3</v>
      </c>
      <c r="F858" t="s">
        <v>42</v>
      </c>
      <c r="G858" t="s">
        <v>42</v>
      </c>
      <c r="H858" t="s">
        <v>42</v>
      </c>
      <c r="I858" t="s">
        <v>42</v>
      </c>
      <c r="J858" t="s">
        <v>42</v>
      </c>
      <c r="K858" t="s">
        <v>42</v>
      </c>
      <c r="L858" t="s">
        <v>42</v>
      </c>
      <c r="M858" t="s">
        <v>122</v>
      </c>
      <c r="N858" t="s">
        <v>122</v>
      </c>
    </row>
    <row r="859" spans="1:14" x14ac:dyDescent="0.25">
      <c r="A859" t="s">
        <v>56</v>
      </c>
      <c r="B859" s="5" t="s">
        <v>45</v>
      </c>
      <c r="C859" t="s">
        <v>121</v>
      </c>
      <c r="D859">
        <v>27.5</v>
      </c>
      <c r="E859">
        <f t="shared" si="24"/>
        <v>27.5</v>
      </c>
      <c r="F859" t="s">
        <v>42</v>
      </c>
      <c r="G859" t="s">
        <v>42</v>
      </c>
      <c r="H859" t="s">
        <v>42</v>
      </c>
      <c r="I859" t="s">
        <v>42</v>
      </c>
      <c r="J859" t="s">
        <v>42</v>
      </c>
      <c r="K859" t="s">
        <v>42</v>
      </c>
      <c r="L859" t="s">
        <v>42</v>
      </c>
      <c r="M859" t="s">
        <v>122</v>
      </c>
      <c r="N859" t="s">
        <v>122</v>
      </c>
    </row>
    <row r="860" spans="1:14" x14ac:dyDescent="0.25">
      <c r="A860" t="s">
        <v>56</v>
      </c>
      <c r="B860" s="5" t="s">
        <v>45</v>
      </c>
      <c r="C860" t="s">
        <v>121</v>
      </c>
      <c r="D860">
        <f>25.9+26</f>
        <v>51.9</v>
      </c>
      <c r="E860">
        <v>25.9</v>
      </c>
      <c r="F860">
        <v>26</v>
      </c>
      <c r="G860" t="s">
        <v>42</v>
      </c>
      <c r="H860" t="s">
        <v>42</v>
      </c>
      <c r="I860" t="s">
        <v>42</v>
      </c>
      <c r="J860" t="s">
        <v>42</v>
      </c>
      <c r="K860" t="s">
        <v>42</v>
      </c>
      <c r="L860" t="s">
        <v>42</v>
      </c>
      <c r="M860" t="s">
        <v>124</v>
      </c>
      <c r="N860" t="s">
        <v>122</v>
      </c>
    </row>
    <row r="861" spans="1:14" x14ac:dyDescent="0.25">
      <c r="A861" t="s">
        <v>56</v>
      </c>
      <c r="B861" s="5" t="s">
        <v>45</v>
      </c>
      <c r="C861" t="s">
        <v>121</v>
      </c>
      <c r="D861">
        <v>40.200000000000003</v>
      </c>
      <c r="E861">
        <f t="shared" ref="E861:E874" si="25">D861</f>
        <v>40.200000000000003</v>
      </c>
      <c r="F861" t="s">
        <v>42</v>
      </c>
      <c r="G861" t="s">
        <v>42</v>
      </c>
      <c r="H861" t="s">
        <v>42</v>
      </c>
      <c r="I861" t="s">
        <v>42</v>
      </c>
      <c r="J861" t="s">
        <v>42</v>
      </c>
      <c r="K861" t="s">
        <v>42</v>
      </c>
      <c r="L861" t="s">
        <v>42</v>
      </c>
      <c r="M861" t="s">
        <v>122</v>
      </c>
      <c r="N861" t="s">
        <v>122</v>
      </c>
    </row>
    <row r="862" spans="1:14" x14ac:dyDescent="0.25">
      <c r="A862" t="s">
        <v>56</v>
      </c>
      <c r="B862" s="5" t="s">
        <v>45</v>
      </c>
      <c r="C862" t="s">
        <v>123</v>
      </c>
      <c r="D862">
        <v>13.1</v>
      </c>
      <c r="E862">
        <f t="shared" si="25"/>
        <v>13.1</v>
      </c>
      <c r="F862" t="s">
        <v>42</v>
      </c>
      <c r="G862" t="s">
        <v>42</v>
      </c>
      <c r="H862" t="s">
        <v>42</v>
      </c>
      <c r="I862" t="s">
        <v>42</v>
      </c>
      <c r="J862" t="s">
        <v>42</v>
      </c>
      <c r="K862" t="s">
        <v>42</v>
      </c>
      <c r="L862" t="s">
        <v>42</v>
      </c>
      <c r="M862" t="s">
        <v>122</v>
      </c>
      <c r="N862" t="s">
        <v>122</v>
      </c>
    </row>
    <row r="863" spans="1:14" x14ac:dyDescent="0.25">
      <c r="A863" t="s">
        <v>56</v>
      </c>
      <c r="B863" s="5" t="s">
        <v>45</v>
      </c>
      <c r="C863" t="s">
        <v>121</v>
      </c>
      <c r="D863">
        <v>20.399999999999999</v>
      </c>
      <c r="E863">
        <f t="shared" si="25"/>
        <v>20.399999999999999</v>
      </c>
      <c r="F863" t="s">
        <v>42</v>
      </c>
      <c r="G863" t="s">
        <v>42</v>
      </c>
      <c r="H863" t="s">
        <v>42</v>
      </c>
      <c r="I863" t="s">
        <v>42</v>
      </c>
      <c r="J863" t="s">
        <v>42</v>
      </c>
      <c r="K863" t="s">
        <v>42</v>
      </c>
      <c r="L863" t="s">
        <v>42</v>
      </c>
      <c r="M863" t="s">
        <v>122</v>
      </c>
      <c r="N863" t="s">
        <v>122</v>
      </c>
    </row>
    <row r="864" spans="1:14" x14ac:dyDescent="0.25">
      <c r="A864" t="s">
        <v>56</v>
      </c>
      <c r="B864" s="5" t="s">
        <v>45</v>
      </c>
      <c r="C864" t="s">
        <v>121</v>
      </c>
      <c r="D864">
        <v>49.5</v>
      </c>
      <c r="E864">
        <f t="shared" si="25"/>
        <v>49.5</v>
      </c>
      <c r="F864" t="s">
        <v>42</v>
      </c>
      <c r="G864" t="s">
        <v>42</v>
      </c>
      <c r="H864" t="s">
        <v>42</v>
      </c>
      <c r="I864" t="s">
        <v>42</v>
      </c>
      <c r="J864" t="s">
        <v>42</v>
      </c>
      <c r="K864" t="s">
        <v>42</v>
      </c>
      <c r="L864" t="s">
        <v>42</v>
      </c>
      <c r="M864" t="s">
        <v>122</v>
      </c>
      <c r="N864" t="s">
        <v>122</v>
      </c>
    </row>
    <row r="865" spans="1:14" x14ac:dyDescent="0.25">
      <c r="A865" t="s">
        <v>56</v>
      </c>
      <c r="B865" s="5" t="s">
        <v>45</v>
      </c>
      <c r="C865" t="s">
        <v>123</v>
      </c>
      <c r="D865">
        <v>14.8</v>
      </c>
      <c r="E865">
        <f t="shared" si="25"/>
        <v>14.8</v>
      </c>
      <c r="F865" t="s">
        <v>42</v>
      </c>
      <c r="G865" t="s">
        <v>42</v>
      </c>
      <c r="H865" t="s">
        <v>42</v>
      </c>
      <c r="I865" t="s">
        <v>42</v>
      </c>
      <c r="J865" t="s">
        <v>42</v>
      </c>
      <c r="K865" t="s">
        <v>42</v>
      </c>
      <c r="L865" t="s">
        <v>42</v>
      </c>
      <c r="M865" t="s">
        <v>122</v>
      </c>
      <c r="N865" t="s">
        <v>122</v>
      </c>
    </row>
    <row r="866" spans="1:14" x14ac:dyDescent="0.25">
      <c r="A866" t="s">
        <v>56</v>
      </c>
      <c r="B866" s="5" t="s">
        <v>45</v>
      </c>
      <c r="C866" t="s">
        <v>121</v>
      </c>
      <c r="D866">
        <v>21.6</v>
      </c>
      <c r="E866">
        <f t="shared" si="25"/>
        <v>21.6</v>
      </c>
      <c r="F866" t="s">
        <v>42</v>
      </c>
      <c r="G866" t="s">
        <v>42</v>
      </c>
      <c r="H866" t="s">
        <v>42</v>
      </c>
      <c r="I866" t="s">
        <v>42</v>
      </c>
      <c r="J866" t="s">
        <v>42</v>
      </c>
      <c r="K866" t="s">
        <v>42</v>
      </c>
      <c r="L866" t="s">
        <v>42</v>
      </c>
      <c r="M866" t="s">
        <v>122</v>
      </c>
      <c r="N866" t="s">
        <v>122</v>
      </c>
    </row>
    <row r="867" spans="1:14" x14ac:dyDescent="0.25">
      <c r="A867" t="s">
        <v>56</v>
      </c>
      <c r="B867" s="5" t="s">
        <v>45</v>
      </c>
      <c r="C867" t="s">
        <v>121</v>
      </c>
      <c r="D867">
        <v>14.5</v>
      </c>
      <c r="E867">
        <f t="shared" si="25"/>
        <v>14.5</v>
      </c>
      <c r="F867" t="s">
        <v>42</v>
      </c>
      <c r="G867" t="s">
        <v>42</v>
      </c>
      <c r="H867" t="s">
        <v>42</v>
      </c>
      <c r="I867" t="s">
        <v>42</v>
      </c>
      <c r="J867" t="s">
        <v>42</v>
      </c>
      <c r="K867" t="s">
        <v>42</v>
      </c>
      <c r="L867" t="s">
        <v>42</v>
      </c>
      <c r="M867" t="s">
        <v>122</v>
      </c>
      <c r="N867" t="s">
        <v>122</v>
      </c>
    </row>
    <row r="868" spans="1:14" x14ac:dyDescent="0.25">
      <c r="A868" t="s">
        <v>56</v>
      </c>
      <c r="B868" s="5" t="s">
        <v>45</v>
      </c>
      <c r="C868" t="s">
        <v>121</v>
      </c>
      <c r="D868">
        <v>28</v>
      </c>
      <c r="E868">
        <f t="shared" si="25"/>
        <v>28</v>
      </c>
      <c r="F868" t="s">
        <v>42</v>
      </c>
      <c r="G868" t="s">
        <v>42</v>
      </c>
      <c r="H868" t="s">
        <v>42</v>
      </c>
      <c r="I868" t="s">
        <v>42</v>
      </c>
      <c r="J868" t="s">
        <v>42</v>
      </c>
      <c r="K868" t="s">
        <v>42</v>
      </c>
      <c r="L868" t="s">
        <v>42</v>
      </c>
      <c r="M868" t="s">
        <v>122</v>
      </c>
      <c r="N868" t="s">
        <v>122</v>
      </c>
    </row>
    <row r="869" spans="1:14" x14ac:dyDescent="0.25">
      <c r="A869" t="s">
        <v>56</v>
      </c>
      <c r="B869" s="5" t="s">
        <v>45</v>
      </c>
      <c r="C869" t="s">
        <v>121</v>
      </c>
      <c r="D869">
        <v>28.6</v>
      </c>
      <c r="E869">
        <f t="shared" si="25"/>
        <v>28.6</v>
      </c>
      <c r="F869" t="s">
        <v>42</v>
      </c>
      <c r="G869" t="s">
        <v>42</v>
      </c>
      <c r="H869" t="s">
        <v>42</v>
      </c>
      <c r="I869" t="s">
        <v>42</v>
      </c>
      <c r="J869" t="s">
        <v>42</v>
      </c>
      <c r="K869" t="s">
        <v>42</v>
      </c>
      <c r="L869" t="s">
        <v>42</v>
      </c>
      <c r="M869" t="s">
        <v>122</v>
      </c>
      <c r="N869" t="s">
        <v>122</v>
      </c>
    </row>
    <row r="870" spans="1:14" x14ac:dyDescent="0.25">
      <c r="A870" t="s">
        <v>56</v>
      </c>
      <c r="B870" s="5" t="s">
        <v>45</v>
      </c>
      <c r="C870" t="s">
        <v>121</v>
      </c>
      <c r="D870">
        <v>30.9</v>
      </c>
      <c r="E870">
        <f t="shared" si="25"/>
        <v>30.9</v>
      </c>
      <c r="F870" t="s">
        <v>42</v>
      </c>
      <c r="G870" t="s">
        <v>42</v>
      </c>
      <c r="H870" t="s">
        <v>42</v>
      </c>
      <c r="I870" t="s">
        <v>42</v>
      </c>
      <c r="J870" t="s">
        <v>42</v>
      </c>
      <c r="K870" t="s">
        <v>42</v>
      </c>
      <c r="L870" t="s">
        <v>42</v>
      </c>
      <c r="M870" t="s">
        <v>122</v>
      </c>
      <c r="N870" t="s">
        <v>122</v>
      </c>
    </row>
    <row r="871" spans="1:14" x14ac:dyDescent="0.25">
      <c r="A871" t="s">
        <v>56</v>
      </c>
      <c r="B871" s="5" t="s">
        <v>45</v>
      </c>
      <c r="C871" t="s">
        <v>121</v>
      </c>
      <c r="D871">
        <v>23.6</v>
      </c>
      <c r="E871">
        <f t="shared" si="25"/>
        <v>23.6</v>
      </c>
      <c r="F871" t="s">
        <v>42</v>
      </c>
      <c r="G871" t="s">
        <v>42</v>
      </c>
      <c r="H871" t="s">
        <v>42</v>
      </c>
      <c r="I871" t="s">
        <v>42</v>
      </c>
      <c r="J871" t="s">
        <v>42</v>
      </c>
      <c r="K871" t="s">
        <v>42</v>
      </c>
      <c r="L871" t="s">
        <v>42</v>
      </c>
      <c r="M871" t="s">
        <v>122</v>
      </c>
      <c r="N871" t="s">
        <v>122</v>
      </c>
    </row>
    <row r="872" spans="1:14" x14ac:dyDescent="0.25">
      <c r="A872" t="s">
        <v>56</v>
      </c>
      <c r="B872" s="5" t="s">
        <v>45</v>
      </c>
      <c r="C872" t="s">
        <v>123</v>
      </c>
      <c r="D872">
        <v>7.9</v>
      </c>
      <c r="E872">
        <f t="shared" si="25"/>
        <v>7.9</v>
      </c>
      <c r="F872" t="s">
        <v>42</v>
      </c>
      <c r="G872" t="s">
        <v>42</v>
      </c>
      <c r="H872" t="s">
        <v>42</v>
      </c>
      <c r="I872" t="s">
        <v>42</v>
      </c>
      <c r="J872" t="s">
        <v>42</v>
      </c>
      <c r="K872" t="s">
        <v>42</v>
      </c>
      <c r="L872" t="s">
        <v>42</v>
      </c>
      <c r="M872" t="s">
        <v>122</v>
      </c>
      <c r="N872" t="s">
        <v>122</v>
      </c>
    </row>
    <row r="873" spans="1:14" x14ac:dyDescent="0.25">
      <c r="A873" t="s">
        <v>56</v>
      </c>
      <c r="B873" s="5" t="s">
        <v>45</v>
      </c>
      <c r="C873" t="s">
        <v>121</v>
      </c>
      <c r="D873">
        <v>25.3</v>
      </c>
      <c r="E873">
        <f t="shared" si="25"/>
        <v>25.3</v>
      </c>
      <c r="F873" t="s">
        <v>42</v>
      </c>
      <c r="G873" t="s">
        <v>42</v>
      </c>
      <c r="H873" t="s">
        <v>42</v>
      </c>
      <c r="I873" t="s">
        <v>42</v>
      </c>
      <c r="J873" t="s">
        <v>42</v>
      </c>
      <c r="K873" t="s">
        <v>42</v>
      </c>
      <c r="L873" t="s">
        <v>42</v>
      </c>
      <c r="M873" t="s">
        <v>122</v>
      </c>
      <c r="N873" t="s">
        <v>122</v>
      </c>
    </row>
    <row r="874" spans="1:14" x14ac:dyDescent="0.25">
      <c r="A874" t="s">
        <v>56</v>
      </c>
      <c r="B874" s="5" t="s">
        <v>45</v>
      </c>
      <c r="C874" t="s">
        <v>121</v>
      </c>
      <c r="D874">
        <v>22.3</v>
      </c>
      <c r="E874">
        <f t="shared" si="25"/>
        <v>22.3</v>
      </c>
      <c r="F874" t="s">
        <v>42</v>
      </c>
      <c r="G874" t="s">
        <v>42</v>
      </c>
      <c r="H874" t="s">
        <v>42</v>
      </c>
      <c r="I874" t="s">
        <v>42</v>
      </c>
      <c r="J874" t="s">
        <v>42</v>
      </c>
      <c r="K874" t="s">
        <v>42</v>
      </c>
      <c r="L874" t="s">
        <v>42</v>
      </c>
      <c r="M874" t="s">
        <v>122</v>
      </c>
      <c r="N874" t="s">
        <v>122</v>
      </c>
    </row>
    <row r="875" spans="1:14" x14ac:dyDescent="0.25">
      <c r="A875" t="s">
        <v>56</v>
      </c>
      <c r="B875" s="5" t="s">
        <v>45</v>
      </c>
      <c r="C875" t="s">
        <v>121</v>
      </c>
      <c r="D875">
        <f>18.9+22.9</f>
        <v>41.8</v>
      </c>
      <c r="E875">
        <v>18.899999999999999</v>
      </c>
      <c r="F875">
        <v>22.9</v>
      </c>
      <c r="G875" t="s">
        <v>42</v>
      </c>
      <c r="H875" t="s">
        <v>42</v>
      </c>
      <c r="I875" t="s">
        <v>42</v>
      </c>
      <c r="J875" t="s">
        <v>42</v>
      </c>
      <c r="K875" t="s">
        <v>42</v>
      </c>
      <c r="L875" t="s">
        <v>42</v>
      </c>
      <c r="M875" t="s">
        <v>124</v>
      </c>
      <c r="N875" t="s">
        <v>122</v>
      </c>
    </row>
    <row r="876" spans="1:14" x14ac:dyDescent="0.25">
      <c r="A876" t="s">
        <v>57</v>
      </c>
      <c r="B876" s="5" t="s">
        <v>45</v>
      </c>
      <c r="C876" t="s">
        <v>121</v>
      </c>
      <c r="D876">
        <v>25.4</v>
      </c>
      <c r="E876">
        <f t="shared" ref="E876:E939" si="26">D876</f>
        <v>25.4</v>
      </c>
      <c r="F876" t="s">
        <v>42</v>
      </c>
      <c r="G876" t="s">
        <v>42</v>
      </c>
      <c r="H876" t="s">
        <v>42</v>
      </c>
      <c r="I876" t="s">
        <v>42</v>
      </c>
      <c r="J876" t="s">
        <v>42</v>
      </c>
      <c r="K876" t="s">
        <v>42</v>
      </c>
      <c r="L876" t="s">
        <v>42</v>
      </c>
      <c r="M876" t="s">
        <v>122</v>
      </c>
      <c r="N876" t="s">
        <v>122</v>
      </c>
    </row>
    <row r="877" spans="1:14" x14ac:dyDescent="0.25">
      <c r="A877" t="s">
        <v>57</v>
      </c>
      <c r="B877" s="5" t="s">
        <v>45</v>
      </c>
      <c r="C877" t="s">
        <v>121</v>
      </c>
      <c r="D877">
        <v>27.5</v>
      </c>
      <c r="E877">
        <f t="shared" si="26"/>
        <v>27.5</v>
      </c>
      <c r="F877" t="s">
        <v>42</v>
      </c>
      <c r="G877" t="s">
        <v>42</v>
      </c>
      <c r="H877" t="s">
        <v>42</v>
      </c>
      <c r="I877" t="s">
        <v>42</v>
      </c>
      <c r="J877" t="s">
        <v>42</v>
      </c>
      <c r="K877" t="s">
        <v>42</v>
      </c>
      <c r="L877" t="s">
        <v>42</v>
      </c>
      <c r="M877" t="s">
        <v>122</v>
      </c>
      <c r="N877" t="s">
        <v>122</v>
      </c>
    </row>
    <row r="878" spans="1:14" x14ac:dyDescent="0.25">
      <c r="A878" t="s">
        <v>57</v>
      </c>
      <c r="B878" s="5" t="s">
        <v>45</v>
      </c>
      <c r="C878" t="s">
        <v>121</v>
      </c>
      <c r="D878">
        <v>30.5</v>
      </c>
      <c r="E878">
        <f t="shared" si="26"/>
        <v>30.5</v>
      </c>
      <c r="F878" t="s">
        <v>42</v>
      </c>
      <c r="G878" t="s">
        <v>42</v>
      </c>
      <c r="H878" t="s">
        <v>42</v>
      </c>
      <c r="I878" t="s">
        <v>42</v>
      </c>
      <c r="J878" t="s">
        <v>42</v>
      </c>
      <c r="K878" t="s">
        <v>42</v>
      </c>
      <c r="L878" t="s">
        <v>42</v>
      </c>
      <c r="M878" t="s">
        <v>122</v>
      </c>
      <c r="N878" t="s">
        <v>122</v>
      </c>
    </row>
    <row r="879" spans="1:14" x14ac:dyDescent="0.25">
      <c r="A879" t="s">
        <v>57</v>
      </c>
      <c r="B879" s="5" t="s">
        <v>45</v>
      </c>
      <c r="C879" t="s">
        <v>123</v>
      </c>
      <c r="D879">
        <v>17.8</v>
      </c>
      <c r="E879">
        <f t="shared" si="26"/>
        <v>17.8</v>
      </c>
      <c r="F879" t="s">
        <v>42</v>
      </c>
      <c r="G879" t="s">
        <v>42</v>
      </c>
      <c r="H879" t="s">
        <v>42</v>
      </c>
      <c r="I879" t="s">
        <v>42</v>
      </c>
      <c r="J879" t="s">
        <v>42</v>
      </c>
      <c r="K879" t="s">
        <v>42</v>
      </c>
      <c r="L879" t="s">
        <v>42</v>
      </c>
      <c r="M879" t="s">
        <v>122</v>
      </c>
      <c r="N879" t="s">
        <v>122</v>
      </c>
    </row>
    <row r="880" spans="1:14" x14ac:dyDescent="0.25">
      <c r="A880" t="s">
        <v>57</v>
      </c>
      <c r="B880" s="5" t="s">
        <v>45</v>
      </c>
      <c r="C880" t="s">
        <v>121</v>
      </c>
      <c r="D880">
        <v>38.9</v>
      </c>
      <c r="E880">
        <f t="shared" si="26"/>
        <v>38.9</v>
      </c>
      <c r="F880" t="s">
        <v>42</v>
      </c>
      <c r="G880" t="s">
        <v>42</v>
      </c>
      <c r="H880" t="s">
        <v>42</v>
      </c>
      <c r="I880" t="s">
        <v>42</v>
      </c>
      <c r="J880" t="s">
        <v>42</v>
      </c>
      <c r="K880" t="s">
        <v>42</v>
      </c>
      <c r="L880" t="s">
        <v>42</v>
      </c>
      <c r="M880" t="s">
        <v>122</v>
      </c>
      <c r="N880" t="s">
        <v>122</v>
      </c>
    </row>
    <row r="881" spans="1:14" x14ac:dyDescent="0.25">
      <c r="A881" t="s">
        <v>57</v>
      </c>
      <c r="B881" s="5" t="s">
        <v>45</v>
      </c>
      <c r="C881" t="s">
        <v>123</v>
      </c>
      <c r="D881">
        <v>25.9</v>
      </c>
      <c r="E881">
        <f t="shared" si="26"/>
        <v>25.9</v>
      </c>
      <c r="F881" t="s">
        <v>42</v>
      </c>
      <c r="G881" t="s">
        <v>42</v>
      </c>
      <c r="H881" t="s">
        <v>42</v>
      </c>
      <c r="I881" t="s">
        <v>42</v>
      </c>
      <c r="J881" t="s">
        <v>42</v>
      </c>
      <c r="K881" t="s">
        <v>42</v>
      </c>
      <c r="L881" t="s">
        <v>42</v>
      </c>
      <c r="M881" t="s">
        <v>122</v>
      </c>
      <c r="N881" t="s">
        <v>122</v>
      </c>
    </row>
    <row r="882" spans="1:14" x14ac:dyDescent="0.25">
      <c r="A882" t="s">
        <v>57</v>
      </c>
      <c r="B882" s="5" t="s">
        <v>45</v>
      </c>
      <c r="C882" t="s">
        <v>121</v>
      </c>
      <c r="D882">
        <v>32.700000000000003</v>
      </c>
      <c r="E882">
        <f t="shared" si="26"/>
        <v>32.700000000000003</v>
      </c>
      <c r="F882" t="s">
        <v>42</v>
      </c>
      <c r="G882" t="s">
        <v>42</v>
      </c>
      <c r="H882" t="s">
        <v>42</v>
      </c>
      <c r="I882" t="s">
        <v>42</v>
      </c>
      <c r="J882" t="s">
        <v>42</v>
      </c>
      <c r="K882" t="s">
        <v>42</v>
      </c>
      <c r="L882" t="s">
        <v>42</v>
      </c>
      <c r="M882" t="s">
        <v>122</v>
      </c>
      <c r="N882" t="s">
        <v>122</v>
      </c>
    </row>
    <row r="883" spans="1:14" x14ac:dyDescent="0.25">
      <c r="A883" t="s">
        <v>57</v>
      </c>
      <c r="B883" s="5" t="s">
        <v>45</v>
      </c>
      <c r="C883" t="s">
        <v>121</v>
      </c>
      <c r="D883">
        <v>25.8</v>
      </c>
      <c r="E883">
        <f t="shared" si="26"/>
        <v>25.8</v>
      </c>
      <c r="F883" t="s">
        <v>42</v>
      </c>
      <c r="G883" t="s">
        <v>42</v>
      </c>
      <c r="H883" t="s">
        <v>42</v>
      </c>
      <c r="I883" t="s">
        <v>42</v>
      </c>
      <c r="J883" t="s">
        <v>42</v>
      </c>
      <c r="K883" t="s">
        <v>42</v>
      </c>
      <c r="L883" t="s">
        <v>42</v>
      </c>
      <c r="M883" t="s">
        <v>122</v>
      </c>
      <c r="N883" t="s">
        <v>122</v>
      </c>
    </row>
    <row r="884" spans="1:14" x14ac:dyDescent="0.25">
      <c r="A884" t="s">
        <v>57</v>
      </c>
      <c r="B884" s="5" t="s">
        <v>45</v>
      </c>
      <c r="C884" t="s">
        <v>121</v>
      </c>
      <c r="D884">
        <v>31.8</v>
      </c>
      <c r="E884">
        <f t="shared" si="26"/>
        <v>31.8</v>
      </c>
      <c r="F884" t="s">
        <v>42</v>
      </c>
      <c r="G884" t="s">
        <v>42</v>
      </c>
      <c r="H884" t="s">
        <v>42</v>
      </c>
      <c r="I884" t="s">
        <v>42</v>
      </c>
      <c r="J884" t="s">
        <v>42</v>
      </c>
      <c r="K884" t="s">
        <v>42</v>
      </c>
      <c r="L884" t="s">
        <v>42</v>
      </c>
      <c r="M884" t="s">
        <v>122</v>
      </c>
      <c r="N884" t="s">
        <v>122</v>
      </c>
    </row>
    <row r="885" spans="1:14" x14ac:dyDescent="0.25">
      <c r="A885" t="s">
        <v>57</v>
      </c>
      <c r="B885" s="5" t="s">
        <v>45</v>
      </c>
      <c r="C885" t="s">
        <v>121</v>
      </c>
      <c r="D885">
        <v>32</v>
      </c>
      <c r="E885">
        <f t="shared" si="26"/>
        <v>32</v>
      </c>
      <c r="F885" t="s">
        <v>42</v>
      </c>
      <c r="G885" t="s">
        <v>42</v>
      </c>
      <c r="H885" t="s">
        <v>42</v>
      </c>
      <c r="I885" t="s">
        <v>42</v>
      </c>
      <c r="J885" t="s">
        <v>42</v>
      </c>
      <c r="K885" t="s">
        <v>42</v>
      </c>
      <c r="L885" t="s">
        <v>42</v>
      </c>
      <c r="M885" t="s">
        <v>122</v>
      </c>
      <c r="N885" t="s">
        <v>122</v>
      </c>
    </row>
    <row r="886" spans="1:14" x14ac:dyDescent="0.25">
      <c r="A886" t="s">
        <v>57</v>
      </c>
      <c r="B886" s="5" t="s">
        <v>45</v>
      </c>
      <c r="C886" t="s">
        <v>121</v>
      </c>
      <c r="D886">
        <v>25.5</v>
      </c>
      <c r="E886">
        <f t="shared" si="26"/>
        <v>25.5</v>
      </c>
      <c r="F886" t="s">
        <v>42</v>
      </c>
      <c r="G886" t="s">
        <v>42</v>
      </c>
      <c r="H886" t="s">
        <v>42</v>
      </c>
      <c r="I886" t="s">
        <v>42</v>
      </c>
      <c r="J886" t="s">
        <v>42</v>
      </c>
      <c r="K886" t="s">
        <v>42</v>
      </c>
      <c r="L886" t="s">
        <v>42</v>
      </c>
      <c r="M886" t="s">
        <v>122</v>
      </c>
      <c r="N886" t="s">
        <v>122</v>
      </c>
    </row>
    <row r="887" spans="1:14" x14ac:dyDescent="0.25">
      <c r="A887" t="s">
        <v>57</v>
      </c>
      <c r="B887" s="5" t="s">
        <v>45</v>
      </c>
      <c r="C887" t="s">
        <v>121</v>
      </c>
      <c r="D887">
        <v>18.5</v>
      </c>
      <c r="E887">
        <f t="shared" si="26"/>
        <v>18.5</v>
      </c>
      <c r="F887" t="s">
        <v>42</v>
      </c>
      <c r="G887" t="s">
        <v>42</v>
      </c>
      <c r="H887" t="s">
        <v>42</v>
      </c>
      <c r="I887" t="s">
        <v>42</v>
      </c>
      <c r="J887" t="s">
        <v>42</v>
      </c>
      <c r="K887" t="s">
        <v>42</v>
      </c>
      <c r="L887" t="s">
        <v>42</v>
      </c>
      <c r="M887" t="s">
        <v>122</v>
      </c>
      <c r="N887" t="s">
        <v>122</v>
      </c>
    </row>
    <row r="888" spans="1:14" x14ac:dyDescent="0.25">
      <c r="A888" t="s">
        <v>57</v>
      </c>
      <c r="B888" s="5" t="s">
        <v>45</v>
      </c>
      <c r="C888" t="s">
        <v>121</v>
      </c>
      <c r="D888">
        <v>30.9</v>
      </c>
      <c r="E888">
        <f t="shared" si="26"/>
        <v>30.9</v>
      </c>
      <c r="F888" t="s">
        <v>42</v>
      </c>
      <c r="G888" t="s">
        <v>42</v>
      </c>
      <c r="H888" t="s">
        <v>42</v>
      </c>
      <c r="I888" t="s">
        <v>42</v>
      </c>
      <c r="J888" t="s">
        <v>42</v>
      </c>
      <c r="K888" t="s">
        <v>42</v>
      </c>
      <c r="L888" t="s">
        <v>42</v>
      </c>
      <c r="M888" t="s">
        <v>122</v>
      </c>
      <c r="N888" t="s">
        <v>122</v>
      </c>
    </row>
    <row r="889" spans="1:14" x14ac:dyDescent="0.25">
      <c r="A889" t="s">
        <v>57</v>
      </c>
      <c r="B889" s="5" t="s">
        <v>45</v>
      </c>
      <c r="C889" t="s">
        <v>121</v>
      </c>
      <c r="D889">
        <v>20.7</v>
      </c>
      <c r="E889">
        <f t="shared" si="26"/>
        <v>20.7</v>
      </c>
      <c r="F889" t="s">
        <v>42</v>
      </c>
      <c r="G889" t="s">
        <v>42</v>
      </c>
      <c r="H889" t="s">
        <v>42</v>
      </c>
      <c r="I889" t="s">
        <v>42</v>
      </c>
      <c r="J889" t="s">
        <v>42</v>
      </c>
      <c r="K889" t="s">
        <v>42</v>
      </c>
      <c r="L889" t="s">
        <v>42</v>
      </c>
      <c r="M889" t="s">
        <v>122</v>
      </c>
      <c r="N889" t="s">
        <v>122</v>
      </c>
    </row>
    <row r="890" spans="1:14" x14ac:dyDescent="0.25">
      <c r="A890" t="s">
        <v>57</v>
      </c>
      <c r="B890" s="5" t="s">
        <v>45</v>
      </c>
      <c r="C890" t="s">
        <v>121</v>
      </c>
      <c r="D890">
        <v>26.7</v>
      </c>
      <c r="E890">
        <f t="shared" si="26"/>
        <v>26.7</v>
      </c>
      <c r="F890" t="s">
        <v>42</v>
      </c>
      <c r="G890" t="s">
        <v>42</v>
      </c>
      <c r="H890" t="s">
        <v>42</v>
      </c>
      <c r="I890" t="s">
        <v>42</v>
      </c>
      <c r="J890" t="s">
        <v>42</v>
      </c>
      <c r="K890" t="s">
        <v>42</v>
      </c>
      <c r="L890" t="s">
        <v>42</v>
      </c>
      <c r="M890" t="s">
        <v>122</v>
      </c>
      <c r="N890" t="s">
        <v>122</v>
      </c>
    </row>
    <row r="891" spans="1:14" x14ac:dyDescent="0.25">
      <c r="A891" t="s">
        <v>57</v>
      </c>
      <c r="B891" s="5" t="s">
        <v>45</v>
      </c>
      <c r="C891" t="s">
        <v>121</v>
      </c>
      <c r="D891">
        <v>24</v>
      </c>
      <c r="E891">
        <f t="shared" si="26"/>
        <v>24</v>
      </c>
      <c r="F891" t="s">
        <v>42</v>
      </c>
      <c r="G891" t="s">
        <v>42</v>
      </c>
      <c r="H891" t="s">
        <v>42</v>
      </c>
      <c r="I891" t="s">
        <v>42</v>
      </c>
      <c r="J891" t="s">
        <v>42</v>
      </c>
      <c r="K891" t="s">
        <v>42</v>
      </c>
      <c r="L891" t="s">
        <v>42</v>
      </c>
      <c r="M891" t="s">
        <v>122</v>
      </c>
      <c r="N891" t="s">
        <v>122</v>
      </c>
    </row>
    <row r="892" spans="1:14" x14ac:dyDescent="0.25">
      <c r="A892" t="s">
        <v>57</v>
      </c>
      <c r="B892" s="5" t="s">
        <v>45</v>
      </c>
      <c r="C892" t="s">
        <v>121</v>
      </c>
      <c r="D892">
        <v>26</v>
      </c>
      <c r="E892">
        <f t="shared" si="26"/>
        <v>26</v>
      </c>
      <c r="F892" t="s">
        <v>42</v>
      </c>
      <c r="G892" t="s">
        <v>42</v>
      </c>
      <c r="H892" t="s">
        <v>42</v>
      </c>
      <c r="I892" t="s">
        <v>42</v>
      </c>
      <c r="J892" t="s">
        <v>42</v>
      </c>
      <c r="K892" t="s">
        <v>42</v>
      </c>
      <c r="L892" t="s">
        <v>42</v>
      </c>
      <c r="M892" t="s">
        <v>122</v>
      </c>
      <c r="N892" t="s">
        <v>122</v>
      </c>
    </row>
    <row r="893" spans="1:14" x14ac:dyDescent="0.25">
      <c r="A893" t="s">
        <v>57</v>
      </c>
      <c r="B893" s="5" t="s">
        <v>45</v>
      </c>
      <c r="C893" t="s">
        <v>121</v>
      </c>
      <c r="D893">
        <v>26.6</v>
      </c>
      <c r="E893">
        <f t="shared" si="26"/>
        <v>26.6</v>
      </c>
      <c r="F893" t="s">
        <v>42</v>
      </c>
      <c r="G893" t="s">
        <v>42</v>
      </c>
      <c r="H893" t="s">
        <v>42</v>
      </c>
      <c r="I893" t="s">
        <v>42</v>
      </c>
      <c r="J893" t="s">
        <v>42</v>
      </c>
      <c r="K893" t="s">
        <v>42</v>
      </c>
      <c r="L893" t="s">
        <v>42</v>
      </c>
      <c r="M893" t="s">
        <v>122</v>
      </c>
      <c r="N893" t="s">
        <v>122</v>
      </c>
    </row>
    <row r="894" spans="1:14" x14ac:dyDescent="0.25">
      <c r="A894" t="s">
        <v>57</v>
      </c>
      <c r="B894" s="5" t="s">
        <v>45</v>
      </c>
      <c r="C894" t="s">
        <v>123</v>
      </c>
      <c r="D894">
        <v>25</v>
      </c>
      <c r="E894">
        <f t="shared" si="26"/>
        <v>25</v>
      </c>
      <c r="F894" t="s">
        <v>42</v>
      </c>
      <c r="G894" t="s">
        <v>42</v>
      </c>
      <c r="H894" t="s">
        <v>42</v>
      </c>
      <c r="I894" t="s">
        <v>42</v>
      </c>
      <c r="J894" t="s">
        <v>42</v>
      </c>
      <c r="K894" t="s">
        <v>42</v>
      </c>
      <c r="L894" t="s">
        <v>42</v>
      </c>
      <c r="M894" t="s">
        <v>122</v>
      </c>
      <c r="N894" t="s">
        <v>122</v>
      </c>
    </row>
    <row r="895" spans="1:14" x14ac:dyDescent="0.25">
      <c r="A895" t="s">
        <v>57</v>
      </c>
      <c r="B895" s="5" t="s">
        <v>45</v>
      </c>
      <c r="C895" t="s">
        <v>121</v>
      </c>
      <c r="D895">
        <v>30.7</v>
      </c>
      <c r="E895">
        <f t="shared" si="26"/>
        <v>30.7</v>
      </c>
      <c r="F895" t="s">
        <v>42</v>
      </c>
      <c r="G895" t="s">
        <v>42</v>
      </c>
      <c r="H895" t="s">
        <v>42</v>
      </c>
      <c r="I895" t="s">
        <v>42</v>
      </c>
      <c r="J895" t="s">
        <v>42</v>
      </c>
      <c r="K895" t="s">
        <v>42</v>
      </c>
      <c r="L895" t="s">
        <v>42</v>
      </c>
      <c r="M895" t="s">
        <v>122</v>
      </c>
      <c r="N895" t="s">
        <v>122</v>
      </c>
    </row>
    <row r="896" spans="1:14" x14ac:dyDescent="0.25">
      <c r="A896" t="s">
        <v>57</v>
      </c>
      <c r="B896" s="5" t="s">
        <v>45</v>
      </c>
      <c r="C896" t="s">
        <v>121</v>
      </c>
      <c r="D896">
        <v>37.200000000000003</v>
      </c>
      <c r="E896">
        <f t="shared" si="26"/>
        <v>37.200000000000003</v>
      </c>
      <c r="F896" t="s">
        <v>42</v>
      </c>
      <c r="G896" t="s">
        <v>42</v>
      </c>
      <c r="H896" t="s">
        <v>42</v>
      </c>
      <c r="I896" t="s">
        <v>42</v>
      </c>
      <c r="J896" t="s">
        <v>42</v>
      </c>
      <c r="K896" t="s">
        <v>42</v>
      </c>
      <c r="L896" t="s">
        <v>42</v>
      </c>
      <c r="M896" t="s">
        <v>122</v>
      </c>
      <c r="N896" t="s">
        <v>122</v>
      </c>
    </row>
    <row r="897" spans="1:14" x14ac:dyDescent="0.25">
      <c r="A897" t="s">
        <v>57</v>
      </c>
      <c r="B897" s="5" t="s">
        <v>45</v>
      </c>
      <c r="C897" t="s">
        <v>121</v>
      </c>
      <c r="D897">
        <v>21.2</v>
      </c>
      <c r="E897">
        <f t="shared" si="26"/>
        <v>21.2</v>
      </c>
      <c r="F897" t="s">
        <v>42</v>
      </c>
      <c r="G897" t="s">
        <v>42</v>
      </c>
      <c r="H897" t="s">
        <v>42</v>
      </c>
      <c r="I897" t="s">
        <v>42</v>
      </c>
      <c r="J897" t="s">
        <v>42</v>
      </c>
      <c r="K897" t="s">
        <v>42</v>
      </c>
      <c r="L897" t="s">
        <v>42</v>
      </c>
      <c r="M897" t="s">
        <v>122</v>
      </c>
      <c r="N897" t="s">
        <v>122</v>
      </c>
    </row>
    <row r="898" spans="1:14" x14ac:dyDescent="0.25">
      <c r="A898" t="s">
        <v>57</v>
      </c>
      <c r="B898" s="5" t="s">
        <v>45</v>
      </c>
      <c r="C898" t="s">
        <v>121</v>
      </c>
      <c r="D898">
        <v>34.9</v>
      </c>
      <c r="E898">
        <f t="shared" si="26"/>
        <v>34.9</v>
      </c>
      <c r="F898" t="s">
        <v>42</v>
      </c>
      <c r="G898" t="s">
        <v>42</v>
      </c>
      <c r="H898" t="s">
        <v>42</v>
      </c>
      <c r="I898" t="s">
        <v>42</v>
      </c>
      <c r="J898" t="s">
        <v>42</v>
      </c>
      <c r="K898" t="s">
        <v>42</v>
      </c>
      <c r="L898" t="s">
        <v>42</v>
      </c>
      <c r="M898" t="s">
        <v>122</v>
      </c>
      <c r="N898" t="s">
        <v>122</v>
      </c>
    </row>
    <row r="899" spans="1:14" x14ac:dyDescent="0.25">
      <c r="A899" t="s">
        <v>57</v>
      </c>
      <c r="B899" s="5" t="s">
        <v>45</v>
      </c>
      <c r="C899" t="s">
        <v>121</v>
      </c>
      <c r="D899">
        <v>30</v>
      </c>
      <c r="E899">
        <f t="shared" si="26"/>
        <v>30</v>
      </c>
      <c r="F899" t="s">
        <v>42</v>
      </c>
      <c r="G899" t="s">
        <v>42</v>
      </c>
      <c r="H899" t="s">
        <v>42</v>
      </c>
      <c r="I899" t="s">
        <v>42</v>
      </c>
      <c r="J899" t="s">
        <v>42</v>
      </c>
      <c r="K899" t="s">
        <v>42</v>
      </c>
      <c r="L899" t="s">
        <v>42</v>
      </c>
      <c r="M899" t="s">
        <v>122</v>
      </c>
      <c r="N899" t="s">
        <v>122</v>
      </c>
    </row>
    <row r="900" spans="1:14" x14ac:dyDescent="0.25">
      <c r="A900" t="s">
        <v>57</v>
      </c>
      <c r="B900" s="5" t="s">
        <v>45</v>
      </c>
      <c r="C900" t="s">
        <v>123</v>
      </c>
      <c r="D900">
        <v>28.9</v>
      </c>
      <c r="E900">
        <f t="shared" si="26"/>
        <v>28.9</v>
      </c>
      <c r="F900" t="s">
        <v>42</v>
      </c>
      <c r="G900" t="s">
        <v>42</v>
      </c>
      <c r="H900" t="s">
        <v>42</v>
      </c>
      <c r="I900" t="s">
        <v>42</v>
      </c>
      <c r="J900" t="s">
        <v>42</v>
      </c>
      <c r="K900" t="s">
        <v>42</v>
      </c>
      <c r="L900" t="s">
        <v>42</v>
      </c>
      <c r="M900" t="s">
        <v>122</v>
      </c>
      <c r="N900" t="s">
        <v>122</v>
      </c>
    </row>
    <row r="901" spans="1:14" x14ac:dyDescent="0.25">
      <c r="A901" t="s">
        <v>57</v>
      </c>
      <c r="B901" s="5" t="s">
        <v>45</v>
      </c>
      <c r="C901" t="s">
        <v>121</v>
      </c>
      <c r="D901">
        <v>31.2</v>
      </c>
      <c r="E901">
        <f t="shared" si="26"/>
        <v>31.2</v>
      </c>
      <c r="F901" t="s">
        <v>42</v>
      </c>
      <c r="G901" t="s">
        <v>42</v>
      </c>
      <c r="H901" t="s">
        <v>42</v>
      </c>
      <c r="I901" t="s">
        <v>42</v>
      </c>
      <c r="J901" t="s">
        <v>42</v>
      </c>
      <c r="K901" t="s">
        <v>42</v>
      </c>
      <c r="L901" t="s">
        <v>42</v>
      </c>
      <c r="M901" t="s">
        <v>122</v>
      </c>
      <c r="N901" t="s">
        <v>122</v>
      </c>
    </row>
    <row r="902" spans="1:14" x14ac:dyDescent="0.25">
      <c r="A902" t="s">
        <v>57</v>
      </c>
      <c r="B902" s="5" t="s">
        <v>45</v>
      </c>
      <c r="C902" t="s">
        <v>121</v>
      </c>
      <c r="D902">
        <v>32.9</v>
      </c>
      <c r="E902">
        <f t="shared" si="26"/>
        <v>32.9</v>
      </c>
      <c r="F902" t="s">
        <v>42</v>
      </c>
      <c r="G902" t="s">
        <v>42</v>
      </c>
      <c r="H902" t="s">
        <v>42</v>
      </c>
      <c r="I902" t="s">
        <v>42</v>
      </c>
      <c r="J902" t="s">
        <v>42</v>
      </c>
      <c r="K902" t="s">
        <v>42</v>
      </c>
      <c r="L902" t="s">
        <v>42</v>
      </c>
      <c r="M902" t="s">
        <v>122</v>
      </c>
      <c r="N902" t="s">
        <v>122</v>
      </c>
    </row>
    <row r="903" spans="1:14" x14ac:dyDescent="0.25">
      <c r="A903" t="s">
        <v>57</v>
      </c>
      <c r="B903" s="5" t="s">
        <v>45</v>
      </c>
      <c r="C903" t="s">
        <v>121</v>
      </c>
      <c r="D903">
        <v>38.700000000000003</v>
      </c>
      <c r="E903">
        <f t="shared" si="26"/>
        <v>38.700000000000003</v>
      </c>
      <c r="F903" t="s">
        <v>42</v>
      </c>
      <c r="G903" t="s">
        <v>42</v>
      </c>
      <c r="H903" t="s">
        <v>42</v>
      </c>
      <c r="I903" t="s">
        <v>42</v>
      </c>
      <c r="J903" t="s">
        <v>42</v>
      </c>
      <c r="K903" t="s">
        <v>42</v>
      </c>
      <c r="L903" t="s">
        <v>42</v>
      </c>
      <c r="M903" t="s">
        <v>122</v>
      </c>
      <c r="N903" t="s">
        <v>122</v>
      </c>
    </row>
    <row r="904" spans="1:14" x14ac:dyDescent="0.25">
      <c r="A904" t="s">
        <v>57</v>
      </c>
      <c r="B904" s="5" t="s">
        <v>45</v>
      </c>
      <c r="C904" t="s">
        <v>121</v>
      </c>
      <c r="D904">
        <v>26.1</v>
      </c>
      <c r="E904">
        <f t="shared" si="26"/>
        <v>26.1</v>
      </c>
      <c r="F904" t="s">
        <v>42</v>
      </c>
      <c r="G904" t="s">
        <v>42</v>
      </c>
      <c r="H904" t="s">
        <v>42</v>
      </c>
      <c r="I904" t="s">
        <v>42</v>
      </c>
      <c r="J904" t="s">
        <v>42</v>
      </c>
      <c r="K904" t="s">
        <v>42</v>
      </c>
      <c r="L904" t="s">
        <v>42</v>
      </c>
      <c r="M904" t="s">
        <v>122</v>
      </c>
      <c r="N904" t="s">
        <v>122</v>
      </c>
    </row>
    <row r="905" spans="1:14" x14ac:dyDescent="0.25">
      <c r="A905" t="s">
        <v>59</v>
      </c>
      <c r="B905" s="5" t="s">
        <v>45</v>
      </c>
      <c r="C905" t="s">
        <v>121</v>
      </c>
      <c r="D905">
        <v>33.9</v>
      </c>
      <c r="E905">
        <f t="shared" si="26"/>
        <v>33.9</v>
      </c>
      <c r="F905" t="s">
        <v>42</v>
      </c>
      <c r="G905" t="s">
        <v>42</v>
      </c>
      <c r="H905" t="s">
        <v>42</v>
      </c>
      <c r="I905" t="s">
        <v>42</v>
      </c>
      <c r="J905" t="s">
        <v>42</v>
      </c>
      <c r="K905" t="s">
        <v>42</v>
      </c>
      <c r="L905" t="s">
        <v>42</v>
      </c>
      <c r="M905" t="s">
        <v>122</v>
      </c>
      <c r="N905" t="s">
        <v>122</v>
      </c>
    </row>
    <row r="906" spans="1:14" x14ac:dyDescent="0.25">
      <c r="A906" t="s">
        <v>59</v>
      </c>
      <c r="B906" s="5" t="s">
        <v>45</v>
      </c>
      <c r="C906" t="s">
        <v>121</v>
      </c>
      <c r="D906">
        <v>27.3</v>
      </c>
      <c r="E906">
        <f t="shared" si="26"/>
        <v>27.3</v>
      </c>
      <c r="F906" t="s">
        <v>42</v>
      </c>
      <c r="G906" t="s">
        <v>42</v>
      </c>
      <c r="H906" t="s">
        <v>42</v>
      </c>
      <c r="I906" t="s">
        <v>42</v>
      </c>
      <c r="J906" t="s">
        <v>42</v>
      </c>
      <c r="K906" t="s">
        <v>42</v>
      </c>
      <c r="L906" t="s">
        <v>42</v>
      </c>
      <c r="M906" t="s">
        <v>122</v>
      </c>
      <c r="N906" t="s">
        <v>122</v>
      </c>
    </row>
    <row r="907" spans="1:14" x14ac:dyDescent="0.25">
      <c r="A907" t="s">
        <v>59</v>
      </c>
      <c r="B907" s="5" t="s">
        <v>45</v>
      </c>
      <c r="C907" t="s">
        <v>123</v>
      </c>
      <c r="D907">
        <v>29.6</v>
      </c>
      <c r="E907">
        <f t="shared" si="26"/>
        <v>29.6</v>
      </c>
      <c r="F907" t="s">
        <v>42</v>
      </c>
      <c r="G907" t="s">
        <v>42</v>
      </c>
      <c r="H907" t="s">
        <v>42</v>
      </c>
      <c r="I907" t="s">
        <v>42</v>
      </c>
      <c r="J907" t="s">
        <v>42</v>
      </c>
      <c r="K907" t="s">
        <v>42</v>
      </c>
      <c r="L907" t="s">
        <v>42</v>
      </c>
      <c r="M907" t="s">
        <v>122</v>
      </c>
      <c r="N907" t="s">
        <v>122</v>
      </c>
    </row>
    <row r="908" spans="1:14" x14ac:dyDescent="0.25">
      <c r="A908" t="s">
        <v>59</v>
      </c>
      <c r="B908" s="5" t="s">
        <v>45</v>
      </c>
      <c r="C908" t="s">
        <v>123</v>
      </c>
      <c r="D908">
        <v>28.9</v>
      </c>
      <c r="E908">
        <f t="shared" si="26"/>
        <v>28.9</v>
      </c>
      <c r="F908" t="s">
        <v>42</v>
      </c>
      <c r="G908" t="s">
        <v>42</v>
      </c>
      <c r="H908" t="s">
        <v>42</v>
      </c>
      <c r="I908" t="s">
        <v>42</v>
      </c>
      <c r="J908" t="s">
        <v>42</v>
      </c>
      <c r="K908" t="s">
        <v>42</v>
      </c>
      <c r="L908" t="s">
        <v>42</v>
      </c>
      <c r="M908" t="s">
        <v>122</v>
      </c>
      <c r="N908" t="s">
        <v>122</v>
      </c>
    </row>
    <row r="909" spans="1:14" x14ac:dyDescent="0.25">
      <c r="A909" t="s">
        <v>59</v>
      </c>
      <c r="B909" s="5" t="s">
        <v>45</v>
      </c>
      <c r="C909" t="s">
        <v>121</v>
      </c>
      <c r="D909">
        <v>25</v>
      </c>
      <c r="E909">
        <f t="shared" si="26"/>
        <v>25</v>
      </c>
      <c r="F909" t="s">
        <v>42</v>
      </c>
      <c r="G909" t="s">
        <v>42</v>
      </c>
      <c r="H909" t="s">
        <v>42</v>
      </c>
      <c r="I909" t="s">
        <v>42</v>
      </c>
      <c r="J909" t="s">
        <v>42</v>
      </c>
      <c r="K909" t="s">
        <v>42</v>
      </c>
      <c r="L909" t="s">
        <v>42</v>
      </c>
      <c r="M909" t="s">
        <v>122</v>
      </c>
      <c r="N909" t="s">
        <v>122</v>
      </c>
    </row>
    <row r="910" spans="1:14" x14ac:dyDescent="0.25">
      <c r="A910" t="s">
        <v>59</v>
      </c>
      <c r="B910" s="5" t="s">
        <v>45</v>
      </c>
      <c r="C910" t="s">
        <v>121</v>
      </c>
      <c r="D910">
        <v>22.9</v>
      </c>
      <c r="E910">
        <f t="shared" si="26"/>
        <v>22.9</v>
      </c>
      <c r="F910" t="s">
        <v>42</v>
      </c>
      <c r="G910" t="s">
        <v>42</v>
      </c>
      <c r="H910" t="s">
        <v>42</v>
      </c>
      <c r="I910" t="s">
        <v>42</v>
      </c>
      <c r="J910" t="s">
        <v>42</v>
      </c>
      <c r="K910" t="s">
        <v>42</v>
      </c>
      <c r="L910" t="s">
        <v>42</v>
      </c>
      <c r="M910" t="s">
        <v>122</v>
      </c>
      <c r="N910" t="s">
        <v>122</v>
      </c>
    </row>
    <row r="911" spans="1:14" x14ac:dyDescent="0.25">
      <c r="A911" t="s">
        <v>59</v>
      </c>
      <c r="B911" s="5" t="s">
        <v>45</v>
      </c>
      <c r="C911" t="s">
        <v>123</v>
      </c>
      <c r="D911">
        <v>28</v>
      </c>
      <c r="E911">
        <f t="shared" si="26"/>
        <v>28</v>
      </c>
      <c r="F911" t="s">
        <v>42</v>
      </c>
      <c r="G911" t="s">
        <v>42</v>
      </c>
      <c r="H911" t="s">
        <v>42</v>
      </c>
      <c r="I911" t="s">
        <v>42</v>
      </c>
      <c r="J911" t="s">
        <v>42</v>
      </c>
      <c r="K911" t="s">
        <v>42</v>
      </c>
      <c r="L911" t="s">
        <v>42</v>
      </c>
      <c r="M911" t="s">
        <v>122</v>
      </c>
      <c r="N911" t="s">
        <v>122</v>
      </c>
    </row>
    <row r="912" spans="1:14" x14ac:dyDescent="0.25">
      <c r="A912" t="s">
        <v>59</v>
      </c>
      <c r="B912" s="5" t="s">
        <v>45</v>
      </c>
      <c r="C912" t="s">
        <v>123</v>
      </c>
      <c r="D912">
        <v>16</v>
      </c>
      <c r="E912">
        <f t="shared" si="26"/>
        <v>16</v>
      </c>
      <c r="F912" t="s">
        <v>42</v>
      </c>
      <c r="G912" t="s">
        <v>42</v>
      </c>
      <c r="H912" t="s">
        <v>42</v>
      </c>
      <c r="I912" t="s">
        <v>42</v>
      </c>
      <c r="J912" t="s">
        <v>42</v>
      </c>
      <c r="K912" t="s">
        <v>42</v>
      </c>
      <c r="L912" t="s">
        <v>42</v>
      </c>
      <c r="M912" t="s">
        <v>122</v>
      </c>
      <c r="N912" t="s">
        <v>122</v>
      </c>
    </row>
    <row r="913" spans="1:14" x14ac:dyDescent="0.25">
      <c r="A913" t="s">
        <v>59</v>
      </c>
      <c r="B913" s="5" t="s">
        <v>45</v>
      </c>
      <c r="C913" t="s">
        <v>123</v>
      </c>
      <c r="D913">
        <v>14.3</v>
      </c>
      <c r="E913">
        <f t="shared" si="26"/>
        <v>14.3</v>
      </c>
      <c r="F913" t="s">
        <v>42</v>
      </c>
      <c r="G913" t="s">
        <v>42</v>
      </c>
      <c r="H913" t="s">
        <v>42</v>
      </c>
      <c r="I913" t="s">
        <v>42</v>
      </c>
      <c r="J913" t="s">
        <v>42</v>
      </c>
      <c r="K913" t="s">
        <v>42</v>
      </c>
      <c r="L913" t="s">
        <v>42</v>
      </c>
      <c r="M913" t="s">
        <v>122</v>
      </c>
      <c r="N913" t="s">
        <v>122</v>
      </c>
    </row>
    <row r="914" spans="1:14" x14ac:dyDescent="0.25">
      <c r="A914" t="s">
        <v>59</v>
      </c>
      <c r="B914" s="5" t="s">
        <v>45</v>
      </c>
      <c r="C914" t="s">
        <v>121</v>
      </c>
      <c r="D914">
        <v>22</v>
      </c>
      <c r="E914">
        <f t="shared" si="26"/>
        <v>22</v>
      </c>
      <c r="F914" t="s">
        <v>42</v>
      </c>
      <c r="G914" t="s">
        <v>42</v>
      </c>
      <c r="H914" t="s">
        <v>42</v>
      </c>
      <c r="I914" t="s">
        <v>42</v>
      </c>
      <c r="J914" t="s">
        <v>42</v>
      </c>
      <c r="K914" t="s">
        <v>42</v>
      </c>
      <c r="L914" t="s">
        <v>42</v>
      </c>
      <c r="M914" t="s">
        <v>122</v>
      </c>
      <c r="N914" t="s">
        <v>122</v>
      </c>
    </row>
    <row r="915" spans="1:14" x14ac:dyDescent="0.25">
      <c r="A915" t="s">
        <v>59</v>
      </c>
      <c r="B915" s="5" t="s">
        <v>45</v>
      </c>
      <c r="C915" t="s">
        <v>121</v>
      </c>
      <c r="D915">
        <v>21.9</v>
      </c>
      <c r="E915">
        <f t="shared" si="26"/>
        <v>21.9</v>
      </c>
      <c r="F915" t="s">
        <v>42</v>
      </c>
      <c r="G915" t="s">
        <v>42</v>
      </c>
      <c r="H915" t="s">
        <v>42</v>
      </c>
      <c r="I915" t="s">
        <v>42</v>
      </c>
      <c r="J915" t="s">
        <v>42</v>
      </c>
      <c r="K915" t="s">
        <v>42</v>
      </c>
      <c r="L915" t="s">
        <v>42</v>
      </c>
      <c r="M915" t="s">
        <v>122</v>
      </c>
      <c r="N915" t="s">
        <v>122</v>
      </c>
    </row>
    <row r="916" spans="1:14" x14ac:dyDescent="0.25">
      <c r="A916" t="s">
        <v>59</v>
      </c>
      <c r="B916" s="5" t="s">
        <v>45</v>
      </c>
      <c r="C916" t="s">
        <v>121</v>
      </c>
      <c r="D916">
        <v>38.799999999999997</v>
      </c>
      <c r="E916">
        <f t="shared" si="26"/>
        <v>38.799999999999997</v>
      </c>
      <c r="F916" t="s">
        <v>42</v>
      </c>
      <c r="G916" t="s">
        <v>42</v>
      </c>
      <c r="H916" t="s">
        <v>42</v>
      </c>
      <c r="I916" t="s">
        <v>42</v>
      </c>
      <c r="J916" t="s">
        <v>42</v>
      </c>
      <c r="K916" t="s">
        <v>42</v>
      </c>
      <c r="L916" t="s">
        <v>42</v>
      </c>
      <c r="M916" t="s">
        <v>122</v>
      </c>
      <c r="N916" t="s">
        <v>122</v>
      </c>
    </row>
    <row r="917" spans="1:14" x14ac:dyDescent="0.25">
      <c r="A917" t="s">
        <v>59</v>
      </c>
      <c r="B917" s="5" t="s">
        <v>45</v>
      </c>
      <c r="C917" t="s">
        <v>123</v>
      </c>
      <c r="D917">
        <v>27.6</v>
      </c>
      <c r="E917">
        <f t="shared" si="26"/>
        <v>27.6</v>
      </c>
      <c r="F917" t="s">
        <v>42</v>
      </c>
      <c r="G917" t="s">
        <v>42</v>
      </c>
      <c r="H917" t="s">
        <v>42</v>
      </c>
      <c r="I917" t="s">
        <v>42</v>
      </c>
      <c r="J917" t="s">
        <v>42</v>
      </c>
      <c r="K917" t="s">
        <v>42</v>
      </c>
      <c r="L917" t="s">
        <v>42</v>
      </c>
      <c r="M917" t="s">
        <v>122</v>
      </c>
      <c r="N917" t="s">
        <v>122</v>
      </c>
    </row>
    <row r="918" spans="1:14" x14ac:dyDescent="0.25">
      <c r="A918" t="s">
        <v>59</v>
      </c>
      <c r="B918" s="5" t="s">
        <v>45</v>
      </c>
      <c r="C918" t="s">
        <v>123</v>
      </c>
      <c r="D918">
        <v>19</v>
      </c>
      <c r="E918">
        <f t="shared" si="26"/>
        <v>19</v>
      </c>
      <c r="F918" t="s">
        <v>42</v>
      </c>
      <c r="G918" t="s">
        <v>42</v>
      </c>
      <c r="H918" t="s">
        <v>42</v>
      </c>
      <c r="I918" t="s">
        <v>42</v>
      </c>
      <c r="J918" t="s">
        <v>42</v>
      </c>
      <c r="K918" t="s">
        <v>42</v>
      </c>
      <c r="L918" t="s">
        <v>42</v>
      </c>
      <c r="M918" t="s">
        <v>122</v>
      </c>
      <c r="N918" t="s">
        <v>122</v>
      </c>
    </row>
    <row r="919" spans="1:14" x14ac:dyDescent="0.25">
      <c r="A919" t="s">
        <v>59</v>
      </c>
      <c r="B919" s="5" t="s">
        <v>45</v>
      </c>
      <c r="C919" t="s">
        <v>123</v>
      </c>
      <c r="D919">
        <v>33.700000000000003</v>
      </c>
      <c r="E919">
        <f t="shared" si="26"/>
        <v>33.700000000000003</v>
      </c>
      <c r="F919" t="s">
        <v>42</v>
      </c>
      <c r="G919" t="s">
        <v>42</v>
      </c>
      <c r="H919" t="s">
        <v>42</v>
      </c>
      <c r="I919" t="s">
        <v>42</v>
      </c>
      <c r="J919" t="s">
        <v>42</v>
      </c>
      <c r="K919" t="s">
        <v>42</v>
      </c>
      <c r="L919" t="s">
        <v>42</v>
      </c>
      <c r="M919" t="s">
        <v>122</v>
      </c>
      <c r="N919" t="s">
        <v>122</v>
      </c>
    </row>
    <row r="920" spans="1:14" x14ac:dyDescent="0.25">
      <c r="A920" t="s">
        <v>59</v>
      </c>
      <c r="B920" s="5" t="s">
        <v>45</v>
      </c>
      <c r="C920" t="s">
        <v>123</v>
      </c>
      <c r="D920">
        <v>19</v>
      </c>
      <c r="E920">
        <f t="shared" si="26"/>
        <v>19</v>
      </c>
      <c r="F920" t="s">
        <v>42</v>
      </c>
      <c r="G920" t="s">
        <v>42</v>
      </c>
      <c r="H920" t="s">
        <v>42</v>
      </c>
      <c r="I920" t="s">
        <v>42</v>
      </c>
      <c r="J920" t="s">
        <v>42</v>
      </c>
      <c r="K920" t="s">
        <v>42</v>
      </c>
      <c r="L920" t="s">
        <v>42</v>
      </c>
      <c r="M920" t="s">
        <v>122</v>
      </c>
      <c r="N920" t="s">
        <v>122</v>
      </c>
    </row>
    <row r="921" spans="1:14" x14ac:dyDescent="0.25">
      <c r="A921" t="s">
        <v>59</v>
      </c>
      <c r="B921" s="5" t="s">
        <v>45</v>
      </c>
      <c r="C921" t="s">
        <v>121</v>
      </c>
      <c r="D921">
        <v>25.2</v>
      </c>
      <c r="E921">
        <f t="shared" si="26"/>
        <v>25.2</v>
      </c>
      <c r="F921" t="s">
        <v>42</v>
      </c>
      <c r="G921" t="s">
        <v>42</v>
      </c>
      <c r="H921" t="s">
        <v>42</v>
      </c>
      <c r="I921" t="s">
        <v>42</v>
      </c>
      <c r="J921" t="s">
        <v>42</v>
      </c>
      <c r="K921" t="s">
        <v>42</v>
      </c>
      <c r="L921" t="s">
        <v>42</v>
      </c>
      <c r="M921" t="s">
        <v>122</v>
      </c>
      <c r="N921" t="s">
        <v>122</v>
      </c>
    </row>
    <row r="922" spans="1:14" x14ac:dyDescent="0.25">
      <c r="A922" t="s">
        <v>59</v>
      </c>
      <c r="B922" s="5" t="s">
        <v>45</v>
      </c>
      <c r="C922" t="s">
        <v>121</v>
      </c>
      <c r="D922">
        <v>28.4</v>
      </c>
      <c r="E922">
        <f t="shared" si="26"/>
        <v>28.4</v>
      </c>
      <c r="F922" t="s">
        <v>42</v>
      </c>
      <c r="G922" t="s">
        <v>42</v>
      </c>
      <c r="H922" t="s">
        <v>42</v>
      </c>
      <c r="I922" t="s">
        <v>42</v>
      </c>
      <c r="J922" t="s">
        <v>42</v>
      </c>
      <c r="K922" t="s">
        <v>42</v>
      </c>
      <c r="L922" t="s">
        <v>42</v>
      </c>
      <c r="M922" t="s">
        <v>122</v>
      </c>
      <c r="N922" t="s">
        <v>122</v>
      </c>
    </row>
    <row r="923" spans="1:14" x14ac:dyDescent="0.25">
      <c r="A923" t="s">
        <v>59</v>
      </c>
      <c r="B923" s="5" t="s">
        <v>45</v>
      </c>
      <c r="C923" t="s">
        <v>121</v>
      </c>
      <c r="D923">
        <v>23.3</v>
      </c>
      <c r="E923">
        <f t="shared" si="26"/>
        <v>23.3</v>
      </c>
      <c r="F923" t="s">
        <v>42</v>
      </c>
      <c r="G923" t="s">
        <v>42</v>
      </c>
      <c r="H923" t="s">
        <v>42</v>
      </c>
      <c r="I923" t="s">
        <v>42</v>
      </c>
      <c r="J923" t="s">
        <v>42</v>
      </c>
      <c r="K923" t="s">
        <v>42</v>
      </c>
      <c r="L923" t="s">
        <v>42</v>
      </c>
      <c r="M923" t="s">
        <v>122</v>
      </c>
      <c r="N923" t="s">
        <v>122</v>
      </c>
    </row>
    <row r="924" spans="1:14" x14ac:dyDescent="0.25">
      <c r="A924" t="s">
        <v>59</v>
      </c>
      <c r="B924" s="5" t="s">
        <v>45</v>
      </c>
      <c r="C924" t="s">
        <v>123</v>
      </c>
      <c r="D924">
        <v>21.9</v>
      </c>
      <c r="E924">
        <f t="shared" si="26"/>
        <v>21.9</v>
      </c>
      <c r="F924" t="s">
        <v>42</v>
      </c>
      <c r="G924" t="s">
        <v>42</v>
      </c>
      <c r="H924" t="s">
        <v>42</v>
      </c>
      <c r="I924" t="s">
        <v>42</v>
      </c>
      <c r="J924" t="s">
        <v>42</v>
      </c>
      <c r="K924" t="s">
        <v>42</v>
      </c>
      <c r="L924" t="s">
        <v>42</v>
      </c>
      <c r="M924" t="s">
        <v>122</v>
      </c>
      <c r="N924" t="s">
        <v>122</v>
      </c>
    </row>
    <row r="925" spans="1:14" x14ac:dyDescent="0.25">
      <c r="A925" t="s">
        <v>59</v>
      </c>
      <c r="B925" s="5" t="s">
        <v>45</v>
      </c>
      <c r="C925" t="s">
        <v>123</v>
      </c>
      <c r="D925">
        <v>24.5</v>
      </c>
      <c r="E925">
        <f t="shared" si="26"/>
        <v>24.5</v>
      </c>
      <c r="F925" t="s">
        <v>42</v>
      </c>
      <c r="G925" t="s">
        <v>42</v>
      </c>
      <c r="H925" t="s">
        <v>42</v>
      </c>
      <c r="I925" t="s">
        <v>42</v>
      </c>
      <c r="J925" t="s">
        <v>42</v>
      </c>
      <c r="K925" t="s">
        <v>42</v>
      </c>
      <c r="L925" t="s">
        <v>42</v>
      </c>
      <c r="M925" t="s">
        <v>122</v>
      </c>
      <c r="N925" t="s">
        <v>122</v>
      </c>
    </row>
    <row r="926" spans="1:14" x14ac:dyDescent="0.25">
      <c r="A926" t="s">
        <v>59</v>
      </c>
      <c r="B926" s="5" t="s">
        <v>45</v>
      </c>
      <c r="C926" t="s">
        <v>121</v>
      </c>
      <c r="D926">
        <v>30.2</v>
      </c>
      <c r="E926">
        <f t="shared" si="26"/>
        <v>30.2</v>
      </c>
      <c r="F926" t="s">
        <v>42</v>
      </c>
      <c r="G926" t="s">
        <v>42</v>
      </c>
      <c r="H926" t="s">
        <v>42</v>
      </c>
      <c r="I926" t="s">
        <v>42</v>
      </c>
      <c r="J926" t="s">
        <v>42</v>
      </c>
      <c r="K926" t="s">
        <v>42</v>
      </c>
      <c r="L926" t="s">
        <v>42</v>
      </c>
      <c r="M926" t="s">
        <v>122</v>
      </c>
      <c r="N926" t="s">
        <v>122</v>
      </c>
    </row>
    <row r="927" spans="1:14" x14ac:dyDescent="0.25">
      <c r="A927" t="s">
        <v>59</v>
      </c>
      <c r="B927" s="5" t="s">
        <v>45</v>
      </c>
      <c r="C927" t="s">
        <v>123</v>
      </c>
      <c r="D927">
        <v>27.5</v>
      </c>
      <c r="E927">
        <f t="shared" si="26"/>
        <v>27.5</v>
      </c>
      <c r="F927" t="s">
        <v>42</v>
      </c>
      <c r="G927" t="s">
        <v>42</v>
      </c>
      <c r="H927" t="s">
        <v>42</v>
      </c>
      <c r="I927" t="s">
        <v>42</v>
      </c>
      <c r="J927" t="s">
        <v>42</v>
      </c>
      <c r="K927" t="s">
        <v>42</v>
      </c>
      <c r="L927" t="s">
        <v>42</v>
      </c>
      <c r="M927" t="s">
        <v>122</v>
      </c>
      <c r="N927" t="s">
        <v>122</v>
      </c>
    </row>
    <row r="928" spans="1:14" x14ac:dyDescent="0.25">
      <c r="A928" t="s">
        <v>59</v>
      </c>
      <c r="B928" s="5" t="s">
        <v>45</v>
      </c>
      <c r="C928" t="s">
        <v>123</v>
      </c>
      <c r="D928">
        <v>21.4</v>
      </c>
      <c r="E928">
        <f t="shared" si="26"/>
        <v>21.4</v>
      </c>
      <c r="F928" t="s">
        <v>42</v>
      </c>
      <c r="G928" t="s">
        <v>42</v>
      </c>
      <c r="H928" t="s">
        <v>42</v>
      </c>
      <c r="I928" t="s">
        <v>42</v>
      </c>
      <c r="J928" t="s">
        <v>42</v>
      </c>
      <c r="K928" t="s">
        <v>42</v>
      </c>
      <c r="L928" t="s">
        <v>42</v>
      </c>
      <c r="M928" t="s">
        <v>122</v>
      </c>
      <c r="N928" t="s">
        <v>122</v>
      </c>
    </row>
    <row r="929" spans="1:14" x14ac:dyDescent="0.25">
      <c r="A929" t="s">
        <v>59</v>
      </c>
      <c r="B929" s="5" t="s">
        <v>45</v>
      </c>
      <c r="C929" t="s">
        <v>123</v>
      </c>
      <c r="D929">
        <v>15.8</v>
      </c>
      <c r="E929">
        <f t="shared" si="26"/>
        <v>15.8</v>
      </c>
      <c r="F929" t="s">
        <v>42</v>
      </c>
      <c r="G929" t="s">
        <v>42</v>
      </c>
      <c r="H929" t="s">
        <v>42</v>
      </c>
      <c r="I929" t="s">
        <v>42</v>
      </c>
      <c r="J929" t="s">
        <v>42</v>
      </c>
      <c r="K929" t="s">
        <v>42</v>
      </c>
      <c r="L929" t="s">
        <v>42</v>
      </c>
      <c r="M929" t="s">
        <v>122</v>
      </c>
      <c r="N929" t="s">
        <v>122</v>
      </c>
    </row>
    <row r="930" spans="1:14" x14ac:dyDescent="0.25">
      <c r="A930" t="s">
        <v>59</v>
      </c>
      <c r="B930" s="5" t="s">
        <v>45</v>
      </c>
      <c r="C930" t="s">
        <v>123</v>
      </c>
      <c r="D930">
        <v>15.3</v>
      </c>
      <c r="E930">
        <f t="shared" si="26"/>
        <v>15.3</v>
      </c>
      <c r="F930" t="s">
        <v>42</v>
      </c>
      <c r="G930" t="s">
        <v>42</v>
      </c>
      <c r="H930" t="s">
        <v>42</v>
      </c>
      <c r="I930" t="s">
        <v>42</v>
      </c>
      <c r="J930" t="s">
        <v>42</v>
      </c>
      <c r="K930" t="s">
        <v>42</v>
      </c>
      <c r="L930" t="s">
        <v>42</v>
      </c>
      <c r="M930" t="s">
        <v>122</v>
      </c>
      <c r="N930" t="s">
        <v>122</v>
      </c>
    </row>
    <row r="931" spans="1:14" x14ac:dyDescent="0.25">
      <c r="A931" t="s">
        <v>59</v>
      </c>
      <c r="B931" s="5" t="s">
        <v>45</v>
      </c>
      <c r="C931" t="s">
        <v>121</v>
      </c>
      <c r="D931">
        <v>41.5</v>
      </c>
      <c r="E931">
        <f t="shared" si="26"/>
        <v>41.5</v>
      </c>
      <c r="F931" t="s">
        <v>42</v>
      </c>
      <c r="G931" t="s">
        <v>42</v>
      </c>
      <c r="H931" t="s">
        <v>42</v>
      </c>
      <c r="I931" t="s">
        <v>42</v>
      </c>
      <c r="J931" t="s">
        <v>42</v>
      </c>
      <c r="K931" t="s">
        <v>42</v>
      </c>
      <c r="L931" t="s">
        <v>42</v>
      </c>
      <c r="M931" t="s">
        <v>122</v>
      </c>
      <c r="N931" t="s">
        <v>122</v>
      </c>
    </row>
    <row r="932" spans="1:14" x14ac:dyDescent="0.25">
      <c r="A932" t="s">
        <v>59</v>
      </c>
      <c r="B932" s="5" t="s">
        <v>45</v>
      </c>
      <c r="C932" t="s">
        <v>121</v>
      </c>
      <c r="D932">
        <v>26</v>
      </c>
      <c r="E932">
        <f t="shared" si="26"/>
        <v>26</v>
      </c>
      <c r="F932" t="s">
        <v>42</v>
      </c>
      <c r="G932" t="s">
        <v>42</v>
      </c>
      <c r="H932" t="s">
        <v>42</v>
      </c>
      <c r="I932" t="s">
        <v>42</v>
      </c>
      <c r="J932" t="s">
        <v>42</v>
      </c>
      <c r="K932" t="s">
        <v>42</v>
      </c>
      <c r="L932" t="s">
        <v>42</v>
      </c>
      <c r="M932" t="s">
        <v>122</v>
      </c>
      <c r="N932" t="s">
        <v>122</v>
      </c>
    </row>
    <row r="933" spans="1:14" x14ac:dyDescent="0.25">
      <c r="A933" t="s">
        <v>59</v>
      </c>
      <c r="B933" s="5" t="s">
        <v>45</v>
      </c>
      <c r="C933" t="s">
        <v>121</v>
      </c>
      <c r="D933">
        <v>33.5</v>
      </c>
      <c r="E933">
        <f t="shared" si="26"/>
        <v>33.5</v>
      </c>
      <c r="F933" t="s">
        <v>42</v>
      </c>
      <c r="G933" t="s">
        <v>42</v>
      </c>
      <c r="H933" t="s">
        <v>42</v>
      </c>
      <c r="I933" t="s">
        <v>42</v>
      </c>
      <c r="J933" t="s">
        <v>42</v>
      </c>
      <c r="K933" t="s">
        <v>42</v>
      </c>
      <c r="L933" t="s">
        <v>42</v>
      </c>
      <c r="M933" t="s">
        <v>122</v>
      </c>
      <c r="N933" t="s">
        <v>122</v>
      </c>
    </row>
    <row r="934" spans="1:14" x14ac:dyDescent="0.25">
      <c r="A934" t="s">
        <v>59</v>
      </c>
      <c r="B934" s="5" t="s">
        <v>45</v>
      </c>
      <c r="C934" t="s">
        <v>121</v>
      </c>
      <c r="D934">
        <v>21.3</v>
      </c>
      <c r="E934">
        <f t="shared" si="26"/>
        <v>21.3</v>
      </c>
      <c r="F934" t="s">
        <v>42</v>
      </c>
      <c r="G934" t="s">
        <v>42</v>
      </c>
      <c r="H934" t="s">
        <v>42</v>
      </c>
      <c r="I934" t="s">
        <v>42</v>
      </c>
      <c r="J934" t="s">
        <v>42</v>
      </c>
      <c r="K934" t="s">
        <v>42</v>
      </c>
      <c r="L934" t="s">
        <v>42</v>
      </c>
      <c r="M934" t="s">
        <v>122</v>
      </c>
      <c r="N934" t="s">
        <v>122</v>
      </c>
    </row>
    <row r="935" spans="1:14" x14ac:dyDescent="0.25">
      <c r="A935" t="s">
        <v>59</v>
      </c>
      <c r="B935" s="5" t="s">
        <v>45</v>
      </c>
      <c r="C935" t="s">
        <v>121</v>
      </c>
      <c r="D935">
        <v>25.2</v>
      </c>
      <c r="E935">
        <f t="shared" si="26"/>
        <v>25.2</v>
      </c>
      <c r="F935" t="s">
        <v>42</v>
      </c>
      <c r="G935" t="s">
        <v>42</v>
      </c>
      <c r="H935" t="s">
        <v>42</v>
      </c>
      <c r="I935" t="s">
        <v>42</v>
      </c>
      <c r="J935" t="s">
        <v>42</v>
      </c>
      <c r="K935" t="s">
        <v>42</v>
      </c>
      <c r="L935" t="s">
        <v>42</v>
      </c>
      <c r="M935" t="s">
        <v>122</v>
      </c>
      <c r="N935" t="s">
        <v>122</v>
      </c>
    </row>
    <row r="936" spans="1:14" x14ac:dyDescent="0.25">
      <c r="A936" t="s">
        <v>59</v>
      </c>
      <c r="B936" s="5" t="s">
        <v>45</v>
      </c>
      <c r="C936" t="s">
        <v>121</v>
      </c>
      <c r="D936">
        <v>22.4</v>
      </c>
      <c r="E936">
        <f t="shared" si="26"/>
        <v>22.4</v>
      </c>
      <c r="F936" t="s">
        <v>42</v>
      </c>
      <c r="G936" t="s">
        <v>42</v>
      </c>
      <c r="H936" t="s">
        <v>42</v>
      </c>
      <c r="I936" t="s">
        <v>42</v>
      </c>
      <c r="J936" t="s">
        <v>42</v>
      </c>
      <c r="K936" t="s">
        <v>42</v>
      </c>
      <c r="L936" t="s">
        <v>42</v>
      </c>
      <c r="M936" t="s">
        <v>122</v>
      </c>
      <c r="N936" t="s">
        <v>122</v>
      </c>
    </row>
    <row r="937" spans="1:14" x14ac:dyDescent="0.25">
      <c r="A937" t="s">
        <v>59</v>
      </c>
      <c r="B937" s="5" t="s">
        <v>45</v>
      </c>
      <c r="C937" t="s">
        <v>121</v>
      </c>
      <c r="D937">
        <v>20.8</v>
      </c>
      <c r="E937">
        <f t="shared" si="26"/>
        <v>20.8</v>
      </c>
      <c r="F937" t="s">
        <v>42</v>
      </c>
      <c r="G937" t="s">
        <v>42</v>
      </c>
      <c r="H937" t="s">
        <v>42</v>
      </c>
      <c r="I937" t="s">
        <v>42</v>
      </c>
      <c r="J937" t="s">
        <v>42</v>
      </c>
      <c r="K937" t="s">
        <v>42</v>
      </c>
      <c r="L937" t="s">
        <v>42</v>
      </c>
      <c r="M937" t="s">
        <v>122</v>
      </c>
      <c r="N937" t="s">
        <v>122</v>
      </c>
    </row>
    <row r="938" spans="1:14" x14ac:dyDescent="0.25">
      <c r="A938" t="s">
        <v>59</v>
      </c>
      <c r="B938" s="5" t="s">
        <v>45</v>
      </c>
      <c r="C938" t="s">
        <v>121</v>
      </c>
      <c r="D938">
        <v>24.1</v>
      </c>
      <c r="E938">
        <f t="shared" si="26"/>
        <v>24.1</v>
      </c>
      <c r="F938" t="s">
        <v>42</v>
      </c>
      <c r="G938" t="s">
        <v>42</v>
      </c>
      <c r="H938" t="s">
        <v>42</v>
      </c>
      <c r="I938" t="s">
        <v>42</v>
      </c>
      <c r="J938" t="s">
        <v>42</v>
      </c>
      <c r="K938" t="s">
        <v>42</v>
      </c>
      <c r="L938" t="s">
        <v>42</v>
      </c>
      <c r="M938" t="s">
        <v>122</v>
      </c>
      <c r="N938" t="s">
        <v>122</v>
      </c>
    </row>
    <row r="939" spans="1:14" x14ac:dyDescent="0.25">
      <c r="A939" t="s">
        <v>59</v>
      </c>
      <c r="B939" s="5" t="s">
        <v>45</v>
      </c>
      <c r="C939" t="s">
        <v>121</v>
      </c>
      <c r="D939">
        <v>25</v>
      </c>
      <c r="E939">
        <f t="shared" si="26"/>
        <v>25</v>
      </c>
      <c r="F939" t="s">
        <v>42</v>
      </c>
      <c r="G939" t="s">
        <v>42</v>
      </c>
      <c r="H939" t="s">
        <v>42</v>
      </c>
      <c r="I939" t="s">
        <v>42</v>
      </c>
      <c r="J939" t="s">
        <v>42</v>
      </c>
      <c r="K939" t="s">
        <v>42</v>
      </c>
      <c r="L939" t="s">
        <v>42</v>
      </c>
      <c r="M939" t="s">
        <v>122</v>
      </c>
      <c r="N939" t="s">
        <v>122</v>
      </c>
    </row>
    <row r="940" spans="1:14" x14ac:dyDescent="0.25">
      <c r="A940" t="s">
        <v>59</v>
      </c>
      <c r="B940" s="5" t="s">
        <v>45</v>
      </c>
      <c r="C940" t="s">
        <v>121</v>
      </c>
      <c r="D940">
        <v>31</v>
      </c>
      <c r="E940">
        <f t="shared" ref="E940:E960" si="27">D940</f>
        <v>31</v>
      </c>
      <c r="F940" t="s">
        <v>42</v>
      </c>
      <c r="G940" t="s">
        <v>42</v>
      </c>
      <c r="H940" t="s">
        <v>42</v>
      </c>
      <c r="I940" t="s">
        <v>42</v>
      </c>
      <c r="J940" t="s">
        <v>42</v>
      </c>
      <c r="K940" t="s">
        <v>42</v>
      </c>
      <c r="L940" t="s">
        <v>42</v>
      </c>
      <c r="M940" t="s">
        <v>122</v>
      </c>
      <c r="N940" t="s">
        <v>122</v>
      </c>
    </row>
    <row r="941" spans="1:14" x14ac:dyDescent="0.25">
      <c r="A941" t="s">
        <v>59</v>
      </c>
      <c r="B941" s="5" t="s">
        <v>45</v>
      </c>
      <c r="C941" t="s">
        <v>123</v>
      </c>
      <c r="D941">
        <v>21.5</v>
      </c>
      <c r="E941">
        <f t="shared" si="27"/>
        <v>21.5</v>
      </c>
      <c r="F941" t="s">
        <v>42</v>
      </c>
      <c r="G941" t="s">
        <v>42</v>
      </c>
      <c r="H941" t="s">
        <v>42</v>
      </c>
      <c r="I941" t="s">
        <v>42</v>
      </c>
      <c r="J941" t="s">
        <v>42</v>
      </c>
      <c r="K941" t="s">
        <v>42</v>
      </c>
      <c r="L941" t="s">
        <v>42</v>
      </c>
      <c r="M941" t="s">
        <v>122</v>
      </c>
      <c r="N941" t="s">
        <v>122</v>
      </c>
    </row>
    <row r="942" spans="1:14" x14ac:dyDescent="0.25">
      <c r="A942" t="s">
        <v>59</v>
      </c>
      <c r="B942" s="5" t="s">
        <v>45</v>
      </c>
      <c r="C942" t="s">
        <v>121</v>
      </c>
      <c r="D942">
        <v>40.700000000000003</v>
      </c>
      <c r="E942">
        <f t="shared" si="27"/>
        <v>40.700000000000003</v>
      </c>
      <c r="F942" t="s">
        <v>42</v>
      </c>
      <c r="G942" t="s">
        <v>42</v>
      </c>
      <c r="H942" t="s">
        <v>42</v>
      </c>
      <c r="I942" t="s">
        <v>42</v>
      </c>
      <c r="J942" t="s">
        <v>42</v>
      </c>
      <c r="K942" t="s">
        <v>42</v>
      </c>
      <c r="L942" t="s">
        <v>42</v>
      </c>
      <c r="M942" t="s">
        <v>122</v>
      </c>
      <c r="N942" t="s">
        <v>122</v>
      </c>
    </row>
    <row r="943" spans="1:14" x14ac:dyDescent="0.25">
      <c r="A943" t="s">
        <v>59</v>
      </c>
      <c r="B943" s="5" t="s">
        <v>45</v>
      </c>
      <c r="C943" t="s">
        <v>121</v>
      </c>
      <c r="D943">
        <v>19.600000000000001</v>
      </c>
      <c r="E943">
        <f t="shared" si="27"/>
        <v>19.600000000000001</v>
      </c>
      <c r="F943" t="s">
        <v>42</v>
      </c>
      <c r="G943" t="s">
        <v>42</v>
      </c>
      <c r="H943" t="s">
        <v>42</v>
      </c>
      <c r="I943" t="s">
        <v>42</v>
      </c>
      <c r="J943" t="s">
        <v>42</v>
      </c>
      <c r="K943" t="s">
        <v>42</v>
      </c>
      <c r="L943" t="s">
        <v>42</v>
      </c>
      <c r="M943" t="s">
        <v>122</v>
      </c>
      <c r="N943" t="s">
        <v>122</v>
      </c>
    </row>
    <row r="944" spans="1:14" x14ac:dyDescent="0.25">
      <c r="A944" t="s">
        <v>59</v>
      </c>
      <c r="B944" s="5" t="s">
        <v>45</v>
      </c>
      <c r="C944" t="s">
        <v>121</v>
      </c>
      <c r="D944">
        <v>29.9</v>
      </c>
      <c r="E944">
        <f t="shared" si="27"/>
        <v>29.9</v>
      </c>
      <c r="F944" t="s">
        <v>42</v>
      </c>
      <c r="G944" t="s">
        <v>42</v>
      </c>
      <c r="H944" t="s">
        <v>42</v>
      </c>
      <c r="I944" t="s">
        <v>42</v>
      </c>
      <c r="J944" t="s">
        <v>42</v>
      </c>
      <c r="K944" t="s">
        <v>42</v>
      </c>
      <c r="L944" t="s">
        <v>42</v>
      </c>
      <c r="M944" t="s">
        <v>122</v>
      </c>
      <c r="N944" t="s">
        <v>122</v>
      </c>
    </row>
    <row r="945" spans="1:14" x14ac:dyDescent="0.25">
      <c r="A945" t="s">
        <v>59</v>
      </c>
      <c r="B945" s="5" t="s">
        <v>45</v>
      </c>
      <c r="C945" t="s">
        <v>121</v>
      </c>
      <c r="D945">
        <v>24.6</v>
      </c>
      <c r="E945">
        <f t="shared" si="27"/>
        <v>24.6</v>
      </c>
      <c r="F945" t="s">
        <v>42</v>
      </c>
      <c r="G945" t="s">
        <v>42</v>
      </c>
      <c r="H945" t="s">
        <v>42</v>
      </c>
      <c r="I945" t="s">
        <v>42</v>
      </c>
      <c r="J945" t="s">
        <v>42</v>
      </c>
      <c r="K945" t="s">
        <v>42</v>
      </c>
      <c r="L945" t="s">
        <v>42</v>
      </c>
      <c r="M945" t="s">
        <v>122</v>
      </c>
      <c r="N945" t="s">
        <v>122</v>
      </c>
    </row>
    <row r="946" spans="1:14" x14ac:dyDescent="0.25">
      <c r="A946" t="s">
        <v>61</v>
      </c>
      <c r="B946" s="5" t="s">
        <v>45</v>
      </c>
      <c r="C946" t="s">
        <v>123</v>
      </c>
      <c r="D946">
        <v>35.299999999999997</v>
      </c>
      <c r="E946">
        <f t="shared" si="27"/>
        <v>35.299999999999997</v>
      </c>
      <c r="F946" t="s">
        <v>42</v>
      </c>
      <c r="G946" t="s">
        <v>42</v>
      </c>
      <c r="H946" t="s">
        <v>42</v>
      </c>
      <c r="I946" t="s">
        <v>42</v>
      </c>
      <c r="J946" t="s">
        <v>42</v>
      </c>
      <c r="K946" t="s">
        <v>42</v>
      </c>
      <c r="L946" t="s">
        <v>42</v>
      </c>
      <c r="M946" t="s">
        <v>122</v>
      </c>
      <c r="N946" t="s">
        <v>122</v>
      </c>
    </row>
    <row r="947" spans="1:14" x14ac:dyDescent="0.25">
      <c r="A947" t="s">
        <v>61</v>
      </c>
      <c r="B947" s="5" t="s">
        <v>45</v>
      </c>
      <c r="C947" t="s">
        <v>121</v>
      </c>
      <c r="D947">
        <v>23</v>
      </c>
      <c r="E947">
        <f t="shared" si="27"/>
        <v>23</v>
      </c>
      <c r="F947" t="s">
        <v>42</v>
      </c>
      <c r="G947" t="s">
        <v>42</v>
      </c>
      <c r="H947" t="s">
        <v>42</v>
      </c>
      <c r="I947" t="s">
        <v>42</v>
      </c>
      <c r="J947" t="s">
        <v>42</v>
      </c>
      <c r="K947" t="s">
        <v>42</v>
      </c>
      <c r="L947" t="s">
        <v>42</v>
      </c>
      <c r="M947" t="s">
        <v>122</v>
      </c>
      <c r="N947" t="s">
        <v>122</v>
      </c>
    </row>
    <row r="948" spans="1:14" x14ac:dyDescent="0.25">
      <c r="A948" t="s">
        <v>61</v>
      </c>
      <c r="B948" s="5" t="s">
        <v>45</v>
      </c>
      <c r="C948" t="s">
        <v>123</v>
      </c>
      <c r="D948">
        <v>17.7</v>
      </c>
      <c r="E948">
        <f t="shared" si="27"/>
        <v>17.7</v>
      </c>
      <c r="F948" t="s">
        <v>42</v>
      </c>
      <c r="G948" t="s">
        <v>42</v>
      </c>
      <c r="H948" t="s">
        <v>42</v>
      </c>
      <c r="I948" t="s">
        <v>42</v>
      </c>
      <c r="J948" t="s">
        <v>42</v>
      </c>
      <c r="K948" t="s">
        <v>42</v>
      </c>
      <c r="L948" t="s">
        <v>42</v>
      </c>
      <c r="M948" t="s">
        <v>122</v>
      </c>
      <c r="N948" t="s">
        <v>122</v>
      </c>
    </row>
    <row r="949" spans="1:14" x14ac:dyDescent="0.25">
      <c r="A949" t="s">
        <v>61</v>
      </c>
      <c r="B949" s="5" t="s">
        <v>45</v>
      </c>
      <c r="C949" t="s">
        <v>121</v>
      </c>
      <c r="D949">
        <v>21.6</v>
      </c>
      <c r="E949">
        <f t="shared" si="27"/>
        <v>21.6</v>
      </c>
      <c r="F949" t="s">
        <v>42</v>
      </c>
      <c r="G949" t="s">
        <v>42</v>
      </c>
      <c r="H949" t="s">
        <v>42</v>
      </c>
      <c r="I949" t="s">
        <v>42</v>
      </c>
      <c r="J949" t="s">
        <v>42</v>
      </c>
      <c r="K949" t="s">
        <v>42</v>
      </c>
      <c r="L949" t="s">
        <v>42</v>
      </c>
      <c r="M949" t="s">
        <v>122</v>
      </c>
      <c r="N949" t="s">
        <v>122</v>
      </c>
    </row>
    <row r="950" spans="1:14" x14ac:dyDescent="0.25">
      <c r="A950" t="s">
        <v>61</v>
      </c>
      <c r="B950" s="5" t="s">
        <v>45</v>
      </c>
      <c r="C950" t="s">
        <v>123</v>
      </c>
      <c r="D950">
        <v>25.5</v>
      </c>
      <c r="E950">
        <f t="shared" si="27"/>
        <v>25.5</v>
      </c>
      <c r="F950" t="s">
        <v>42</v>
      </c>
      <c r="G950" t="s">
        <v>42</v>
      </c>
      <c r="H950" t="s">
        <v>42</v>
      </c>
      <c r="I950" t="s">
        <v>42</v>
      </c>
      <c r="J950" t="s">
        <v>42</v>
      </c>
      <c r="K950" t="s">
        <v>42</v>
      </c>
      <c r="L950" t="s">
        <v>42</v>
      </c>
      <c r="M950" t="s">
        <v>122</v>
      </c>
      <c r="N950" t="s">
        <v>122</v>
      </c>
    </row>
    <row r="951" spans="1:14" x14ac:dyDescent="0.25">
      <c r="A951" t="s">
        <v>61</v>
      </c>
      <c r="B951" s="5" t="s">
        <v>45</v>
      </c>
      <c r="C951" t="s">
        <v>121</v>
      </c>
      <c r="D951">
        <v>26.3</v>
      </c>
      <c r="E951">
        <f t="shared" si="27"/>
        <v>26.3</v>
      </c>
      <c r="F951" t="s">
        <v>42</v>
      </c>
      <c r="G951" t="s">
        <v>42</v>
      </c>
      <c r="H951" t="s">
        <v>42</v>
      </c>
      <c r="I951" t="s">
        <v>42</v>
      </c>
      <c r="J951" t="s">
        <v>42</v>
      </c>
      <c r="K951" t="s">
        <v>42</v>
      </c>
      <c r="L951" t="s">
        <v>42</v>
      </c>
      <c r="M951" t="s">
        <v>122</v>
      </c>
      <c r="N951" t="s">
        <v>122</v>
      </c>
    </row>
    <row r="952" spans="1:14" x14ac:dyDescent="0.25">
      <c r="A952" t="s">
        <v>61</v>
      </c>
      <c r="B952" s="5" t="s">
        <v>45</v>
      </c>
      <c r="C952" t="s">
        <v>121</v>
      </c>
      <c r="D952">
        <v>29.1</v>
      </c>
      <c r="E952">
        <f t="shared" si="27"/>
        <v>29.1</v>
      </c>
      <c r="F952" t="s">
        <v>42</v>
      </c>
      <c r="G952" t="s">
        <v>42</v>
      </c>
      <c r="H952" t="s">
        <v>42</v>
      </c>
      <c r="I952" t="s">
        <v>42</v>
      </c>
      <c r="J952" t="s">
        <v>42</v>
      </c>
      <c r="K952" t="s">
        <v>42</v>
      </c>
      <c r="L952" t="s">
        <v>42</v>
      </c>
      <c r="M952" t="s">
        <v>122</v>
      </c>
      <c r="N952" t="s">
        <v>122</v>
      </c>
    </row>
    <row r="953" spans="1:14" x14ac:dyDescent="0.25">
      <c r="A953" t="s">
        <v>61</v>
      </c>
      <c r="B953" s="5" t="s">
        <v>45</v>
      </c>
      <c r="C953" t="s">
        <v>121</v>
      </c>
      <c r="D953">
        <v>23.8</v>
      </c>
      <c r="E953">
        <f t="shared" si="27"/>
        <v>23.8</v>
      </c>
      <c r="F953" t="s">
        <v>42</v>
      </c>
      <c r="G953" t="s">
        <v>42</v>
      </c>
      <c r="H953" t="s">
        <v>42</v>
      </c>
      <c r="I953" t="s">
        <v>42</v>
      </c>
      <c r="J953" t="s">
        <v>42</v>
      </c>
      <c r="K953" t="s">
        <v>42</v>
      </c>
      <c r="L953" t="s">
        <v>42</v>
      </c>
      <c r="M953" t="s">
        <v>122</v>
      </c>
      <c r="N953" t="s">
        <v>122</v>
      </c>
    </row>
    <row r="954" spans="1:14" x14ac:dyDescent="0.25">
      <c r="A954" t="s">
        <v>61</v>
      </c>
      <c r="B954" s="5" t="s">
        <v>45</v>
      </c>
      <c r="C954" t="s">
        <v>123</v>
      </c>
      <c r="D954">
        <v>20.2</v>
      </c>
      <c r="E954">
        <f t="shared" si="27"/>
        <v>20.2</v>
      </c>
      <c r="F954" t="s">
        <v>42</v>
      </c>
      <c r="G954" t="s">
        <v>42</v>
      </c>
      <c r="H954" t="s">
        <v>42</v>
      </c>
      <c r="I954" t="s">
        <v>42</v>
      </c>
      <c r="J954" t="s">
        <v>42</v>
      </c>
      <c r="K954" t="s">
        <v>42</v>
      </c>
      <c r="L954" t="s">
        <v>42</v>
      </c>
      <c r="M954" t="s">
        <v>122</v>
      </c>
      <c r="N954" t="s">
        <v>122</v>
      </c>
    </row>
    <row r="955" spans="1:14" x14ac:dyDescent="0.25">
      <c r="A955" t="s">
        <v>61</v>
      </c>
      <c r="B955" s="5" t="s">
        <v>45</v>
      </c>
      <c r="C955" t="s">
        <v>121</v>
      </c>
      <c r="D955">
        <v>21.9</v>
      </c>
      <c r="E955">
        <f t="shared" si="27"/>
        <v>21.9</v>
      </c>
      <c r="F955" t="s">
        <v>42</v>
      </c>
      <c r="G955" t="s">
        <v>42</v>
      </c>
      <c r="H955" t="s">
        <v>42</v>
      </c>
      <c r="I955" t="s">
        <v>42</v>
      </c>
      <c r="J955" t="s">
        <v>42</v>
      </c>
      <c r="K955" t="s">
        <v>42</v>
      </c>
      <c r="L955" t="s">
        <v>42</v>
      </c>
      <c r="M955" t="s">
        <v>122</v>
      </c>
      <c r="N955" t="s">
        <v>122</v>
      </c>
    </row>
    <row r="956" spans="1:14" x14ac:dyDescent="0.25">
      <c r="A956" t="s">
        <v>61</v>
      </c>
      <c r="B956" s="5" t="s">
        <v>45</v>
      </c>
      <c r="C956" t="s">
        <v>123</v>
      </c>
      <c r="D956">
        <v>12.3</v>
      </c>
      <c r="E956">
        <f t="shared" si="27"/>
        <v>12.3</v>
      </c>
      <c r="F956" t="s">
        <v>42</v>
      </c>
      <c r="G956" t="s">
        <v>42</v>
      </c>
      <c r="H956" t="s">
        <v>42</v>
      </c>
      <c r="I956" t="s">
        <v>42</v>
      </c>
      <c r="J956" t="s">
        <v>42</v>
      </c>
      <c r="K956" t="s">
        <v>42</v>
      </c>
      <c r="L956" t="s">
        <v>42</v>
      </c>
      <c r="M956" t="s">
        <v>122</v>
      </c>
      <c r="N956" t="s">
        <v>122</v>
      </c>
    </row>
    <row r="957" spans="1:14" x14ac:dyDescent="0.25">
      <c r="A957" t="s">
        <v>61</v>
      </c>
      <c r="B957" s="5" t="s">
        <v>45</v>
      </c>
      <c r="C957" t="s">
        <v>121</v>
      </c>
      <c r="D957">
        <v>24</v>
      </c>
      <c r="E957">
        <f t="shared" si="27"/>
        <v>24</v>
      </c>
      <c r="F957" t="s">
        <v>42</v>
      </c>
      <c r="G957" t="s">
        <v>42</v>
      </c>
      <c r="H957" t="s">
        <v>42</v>
      </c>
      <c r="I957" t="s">
        <v>42</v>
      </c>
      <c r="J957" t="s">
        <v>42</v>
      </c>
      <c r="K957" t="s">
        <v>42</v>
      </c>
      <c r="L957" t="s">
        <v>42</v>
      </c>
      <c r="M957" t="s">
        <v>122</v>
      </c>
      <c r="N957" t="s">
        <v>122</v>
      </c>
    </row>
    <row r="958" spans="1:14" x14ac:dyDescent="0.25">
      <c r="A958" t="s">
        <v>61</v>
      </c>
      <c r="B958" s="5" t="s">
        <v>45</v>
      </c>
      <c r="C958" t="s">
        <v>121</v>
      </c>
      <c r="D958">
        <v>24.4</v>
      </c>
      <c r="E958">
        <f t="shared" si="27"/>
        <v>24.4</v>
      </c>
      <c r="F958" t="s">
        <v>42</v>
      </c>
      <c r="G958" t="s">
        <v>42</v>
      </c>
      <c r="H958" t="s">
        <v>42</v>
      </c>
      <c r="I958" t="s">
        <v>42</v>
      </c>
      <c r="J958" t="s">
        <v>42</v>
      </c>
      <c r="K958" t="s">
        <v>42</v>
      </c>
      <c r="L958" t="s">
        <v>42</v>
      </c>
      <c r="M958" t="s">
        <v>122</v>
      </c>
      <c r="N958" t="s">
        <v>122</v>
      </c>
    </row>
    <row r="959" spans="1:14" x14ac:dyDescent="0.25">
      <c r="A959" t="s">
        <v>61</v>
      </c>
      <c r="B959" s="5" t="s">
        <v>45</v>
      </c>
      <c r="C959" t="s">
        <v>121</v>
      </c>
      <c r="D959">
        <v>24.3</v>
      </c>
      <c r="E959">
        <f t="shared" si="27"/>
        <v>24.3</v>
      </c>
      <c r="F959" t="s">
        <v>42</v>
      </c>
      <c r="G959" t="s">
        <v>42</v>
      </c>
      <c r="H959" t="s">
        <v>42</v>
      </c>
      <c r="I959" t="s">
        <v>42</v>
      </c>
      <c r="J959" t="s">
        <v>42</v>
      </c>
      <c r="K959" t="s">
        <v>42</v>
      </c>
      <c r="L959" t="s">
        <v>42</v>
      </c>
      <c r="M959" t="s">
        <v>122</v>
      </c>
      <c r="N959" t="s">
        <v>122</v>
      </c>
    </row>
    <row r="960" spans="1:14" x14ac:dyDescent="0.25">
      <c r="A960" t="s">
        <v>61</v>
      </c>
      <c r="B960" s="5" t="s">
        <v>45</v>
      </c>
      <c r="C960" t="s">
        <v>121</v>
      </c>
      <c r="D960">
        <v>54</v>
      </c>
      <c r="E960">
        <f t="shared" si="27"/>
        <v>54</v>
      </c>
      <c r="F960" t="s">
        <v>42</v>
      </c>
      <c r="G960" t="s">
        <v>42</v>
      </c>
      <c r="H960" t="s">
        <v>42</v>
      </c>
      <c r="I960" t="s">
        <v>42</v>
      </c>
      <c r="J960" t="s">
        <v>42</v>
      </c>
      <c r="K960" t="s">
        <v>42</v>
      </c>
      <c r="L960" t="s">
        <v>42</v>
      </c>
      <c r="M960" t="s">
        <v>122</v>
      </c>
      <c r="N960" t="s">
        <v>122</v>
      </c>
    </row>
    <row r="961" spans="1:14" x14ac:dyDescent="0.25">
      <c r="A961" t="s">
        <v>61</v>
      </c>
      <c r="B961" s="5" t="s">
        <v>45</v>
      </c>
      <c r="C961" t="s">
        <v>121</v>
      </c>
      <c r="D961">
        <f>22.4+24.9</f>
        <v>47.3</v>
      </c>
      <c r="E961">
        <v>22.4</v>
      </c>
      <c r="F961">
        <v>24.9</v>
      </c>
      <c r="G961" t="s">
        <v>42</v>
      </c>
      <c r="H961" t="s">
        <v>42</v>
      </c>
      <c r="I961" t="s">
        <v>42</v>
      </c>
      <c r="J961" t="s">
        <v>42</v>
      </c>
      <c r="K961" t="s">
        <v>42</v>
      </c>
      <c r="L961" t="s">
        <v>42</v>
      </c>
      <c r="M961" t="s">
        <v>124</v>
      </c>
      <c r="N961" t="s">
        <v>122</v>
      </c>
    </row>
    <row r="962" spans="1:14" x14ac:dyDescent="0.25">
      <c r="A962" t="s">
        <v>61</v>
      </c>
      <c r="B962" s="5" t="s">
        <v>45</v>
      </c>
      <c r="C962" t="s">
        <v>123</v>
      </c>
      <c r="D962">
        <v>12.3</v>
      </c>
      <c r="E962">
        <f t="shared" ref="E962:E1025" si="28">D962</f>
        <v>12.3</v>
      </c>
      <c r="F962" t="s">
        <v>42</v>
      </c>
      <c r="G962" t="s">
        <v>42</v>
      </c>
      <c r="H962" t="s">
        <v>42</v>
      </c>
      <c r="I962" t="s">
        <v>42</v>
      </c>
      <c r="J962" t="s">
        <v>42</v>
      </c>
      <c r="K962" t="s">
        <v>42</v>
      </c>
      <c r="L962" t="s">
        <v>42</v>
      </c>
      <c r="M962" t="s">
        <v>122</v>
      </c>
      <c r="N962" t="s">
        <v>122</v>
      </c>
    </row>
    <row r="963" spans="1:14" x14ac:dyDescent="0.25">
      <c r="A963" t="s">
        <v>61</v>
      </c>
      <c r="B963" s="5" t="s">
        <v>45</v>
      </c>
      <c r="C963" t="s">
        <v>123</v>
      </c>
      <c r="D963">
        <v>18.3</v>
      </c>
      <c r="E963">
        <f t="shared" si="28"/>
        <v>18.3</v>
      </c>
      <c r="F963" t="s">
        <v>42</v>
      </c>
      <c r="G963" t="s">
        <v>42</v>
      </c>
      <c r="H963" t="s">
        <v>42</v>
      </c>
      <c r="I963" t="s">
        <v>42</v>
      </c>
      <c r="J963" t="s">
        <v>42</v>
      </c>
      <c r="K963" t="s">
        <v>42</v>
      </c>
      <c r="L963" t="s">
        <v>42</v>
      </c>
      <c r="M963" t="s">
        <v>122</v>
      </c>
      <c r="N963" t="s">
        <v>122</v>
      </c>
    </row>
    <row r="964" spans="1:14" x14ac:dyDescent="0.25">
      <c r="A964" t="s">
        <v>61</v>
      </c>
      <c r="B964" s="5" t="s">
        <v>45</v>
      </c>
      <c r="C964" t="s">
        <v>121</v>
      </c>
      <c r="D964">
        <v>18</v>
      </c>
      <c r="E964">
        <f t="shared" si="28"/>
        <v>18</v>
      </c>
      <c r="F964" t="s">
        <v>42</v>
      </c>
      <c r="G964" t="s">
        <v>42</v>
      </c>
      <c r="H964" t="s">
        <v>42</v>
      </c>
      <c r="I964" t="s">
        <v>42</v>
      </c>
      <c r="J964" t="s">
        <v>42</v>
      </c>
      <c r="K964" t="s">
        <v>42</v>
      </c>
      <c r="L964" t="s">
        <v>42</v>
      </c>
      <c r="M964" t="s">
        <v>122</v>
      </c>
      <c r="N964" t="s">
        <v>122</v>
      </c>
    </row>
    <row r="965" spans="1:14" x14ac:dyDescent="0.25">
      <c r="A965" t="s">
        <v>61</v>
      </c>
      <c r="B965" s="5" t="s">
        <v>45</v>
      </c>
      <c r="C965" t="s">
        <v>121</v>
      </c>
      <c r="D965">
        <v>31.6</v>
      </c>
      <c r="E965">
        <f t="shared" si="28"/>
        <v>31.6</v>
      </c>
      <c r="F965" t="s">
        <v>42</v>
      </c>
      <c r="G965" t="s">
        <v>42</v>
      </c>
      <c r="H965" t="s">
        <v>42</v>
      </c>
      <c r="I965" t="s">
        <v>42</v>
      </c>
      <c r="J965" t="s">
        <v>42</v>
      </c>
      <c r="K965" t="s">
        <v>42</v>
      </c>
      <c r="L965" t="s">
        <v>42</v>
      </c>
      <c r="M965" t="s">
        <v>122</v>
      </c>
      <c r="N965" t="s">
        <v>122</v>
      </c>
    </row>
    <row r="966" spans="1:14" x14ac:dyDescent="0.25">
      <c r="A966" t="s">
        <v>61</v>
      </c>
      <c r="B966" s="5" t="s">
        <v>45</v>
      </c>
      <c r="C966" t="s">
        <v>121</v>
      </c>
      <c r="D966">
        <v>18.399999999999999</v>
      </c>
      <c r="E966">
        <f t="shared" si="28"/>
        <v>18.399999999999999</v>
      </c>
      <c r="F966" t="s">
        <v>42</v>
      </c>
      <c r="G966" t="s">
        <v>42</v>
      </c>
      <c r="H966" t="s">
        <v>42</v>
      </c>
      <c r="I966" t="s">
        <v>42</v>
      </c>
      <c r="J966" t="s">
        <v>42</v>
      </c>
      <c r="K966" t="s">
        <v>42</v>
      </c>
      <c r="L966" t="s">
        <v>42</v>
      </c>
      <c r="M966" t="s">
        <v>122</v>
      </c>
      <c r="N966" t="s">
        <v>122</v>
      </c>
    </row>
    <row r="967" spans="1:14" x14ac:dyDescent="0.25">
      <c r="A967" t="s">
        <v>61</v>
      </c>
      <c r="B967" s="5" t="s">
        <v>45</v>
      </c>
      <c r="C967" t="s">
        <v>123</v>
      </c>
      <c r="D967">
        <v>12.7</v>
      </c>
      <c r="E967">
        <f t="shared" si="28"/>
        <v>12.7</v>
      </c>
      <c r="F967" t="s">
        <v>42</v>
      </c>
      <c r="G967" t="s">
        <v>42</v>
      </c>
      <c r="H967" t="s">
        <v>42</v>
      </c>
      <c r="I967" t="s">
        <v>42</v>
      </c>
      <c r="J967" t="s">
        <v>42</v>
      </c>
      <c r="K967" t="s">
        <v>42</v>
      </c>
      <c r="L967" t="s">
        <v>42</v>
      </c>
      <c r="M967" t="s">
        <v>122</v>
      </c>
      <c r="N967" t="s">
        <v>122</v>
      </c>
    </row>
    <row r="968" spans="1:14" x14ac:dyDescent="0.25">
      <c r="A968" t="s">
        <v>61</v>
      </c>
      <c r="B968" s="5" t="s">
        <v>45</v>
      </c>
      <c r="C968" t="s">
        <v>121</v>
      </c>
      <c r="D968">
        <v>28.6</v>
      </c>
      <c r="E968">
        <f t="shared" si="28"/>
        <v>28.6</v>
      </c>
      <c r="F968" t="s">
        <v>42</v>
      </c>
      <c r="G968" t="s">
        <v>42</v>
      </c>
      <c r="H968" t="s">
        <v>42</v>
      </c>
      <c r="I968" t="s">
        <v>42</v>
      </c>
      <c r="J968" t="s">
        <v>42</v>
      </c>
      <c r="K968" t="s">
        <v>42</v>
      </c>
      <c r="L968" t="s">
        <v>42</v>
      </c>
      <c r="M968" t="s">
        <v>122</v>
      </c>
      <c r="N968" t="s">
        <v>122</v>
      </c>
    </row>
    <row r="969" spans="1:14" x14ac:dyDescent="0.25">
      <c r="A969" t="s">
        <v>61</v>
      </c>
      <c r="B969" s="5" t="s">
        <v>45</v>
      </c>
      <c r="C969" t="s">
        <v>121</v>
      </c>
      <c r="D969">
        <v>24.7</v>
      </c>
      <c r="E969">
        <f t="shared" si="28"/>
        <v>24.7</v>
      </c>
      <c r="F969" t="s">
        <v>42</v>
      </c>
      <c r="G969" t="s">
        <v>42</v>
      </c>
      <c r="H969" t="s">
        <v>42</v>
      </c>
      <c r="I969" t="s">
        <v>42</v>
      </c>
      <c r="J969" t="s">
        <v>42</v>
      </c>
      <c r="K969" t="s">
        <v>42</v>
      </c>
      <c r="L969" t="s">
        <v>42</v>
      </c>
      <c r="M969" t="s">
        <v>122</v>
      </c>
      <c r="N969" t="s">
        <v>122</v>
      </c>
    </row>
    <row r="970" spans="1:14" x14ac:dyDescent="0.25">
      <c r="A970" t="s">
        <v>61</v>
      </c>
      <c r="B970" s="5" t="s">
        <v>45</v>
      </c>
      <c r="C970" t="s">
        <v>123</v>
      </c>
      <c r="D970">
        <v>26.6</v>
      </c>
      <c r="E970">
        <f t="shared" si="28"/>
        <v>26.6</v>
      </c>
      <c r="F970" t="s">
        <v>42</v>
      </c>
      <c r="G970" t="s">
        <v>42</v>
      </c>
      <c r="H970" t="s">
        <v>42</v>
      </c>
      <c r="I970" t="s">
        <v>42</v>
      </c>
      <c r="J970" t="s">
        <v>42</v>
      </c>
      <c r="K970" t="s">
        <v>42</v>
      </c>
      <c r="L970" t="s">
        <v>42</v>
      </c>
      <c r="M970" t="s">
        <v>122</v>
      </c>
      <c r="N970" t="s">
        <v>122</v>
      </c>
    </row>
    <row r="971" spans="1:14" x14ac:dyDescent="0.25">
      <c r="A971" t="s">
        <v>61</v>
      </c>
      <c r="B971" s="5" t="s">
        <v>45</v>
      </c>
      <c r="C971" t="s">
        <v>121</v>
      </c>
      <c r="D971">
        <v>24.1</v>
      </c>
      <c r="E971">
        <f t="shared" si="28"/>
        <v>24.1</v>
      </c>
      <c r="F971" t="s">
        <v>42</v>
      </c>
      <c r="G971" t="s">
        <v>42</v>
      </c>
      <c r="H971" t="s">
        <v>42</v>
      </c>
      <c r="I971" t="s">
        <v>42</v>
      </c>
      <c r="J971" t="s">
        <v>42</v>
      </c>
      <c r="K971" t="s">
        <v>42</v>
      </c>
      <c r="L971" t="s">
        <v>42</v>
      </c>
      <c r="M971" t="s">
        <v>122</v>
      </c>
      <c r="N971" t="s">
        <v>122</v>
      </c>
    </row>
    <row r="972" spans="1:14" x14ac:dyDescent="0.25">
      <c r="A972" t="s">
        <v>61</v>
      </c>
      <c r="B972" s="5" t="s">
        <v>45</v>
      </c>
      <c r="C972" t="s">
        <v>123</v>
      </c>
      <c r="D972">
        <v>14</v>
      </c>
      <c r="E972">
        <f t="shared" si="28"/>
        <v>14</v>
      </c>
      <c r="F972" t="s">
        <v>42</v>
      </c>
      <c r="G972" t="s">
        <v>42</v>
      </c>
      <c r="H972" t="s">
        <v>42</v>
      </c>
      <c r="I972" t="s">
        <v>42</v>
      </c>
      <c r="J972" t="s">
        <v>42</v>
      </c>
      <c r="K972" t="s">
        <v>42</v>
      </c>
      <c r="L972" t="s">
        <v>42</v>
      </c>
      <c r="M972" t="s">
        <v>122</v>
      </c>
      <c r="N972" t="s">
        <v>122</v>
      </c>
    </row>
    <row r="973" spans="1:14" x14ac:dyDescent="0.25">
      <c r="A973" t="s">
        <v>61</v>
      </c>
      <c r="B973" s="5" t="s">
        <v>45</v>
      </c>
      <c r="C973" t="s">
        <v>121</v>
      </c>
      <c r="D973">
        <v>22.9</v>
      </c>
      <c r="E973">
        <f t="shared" si="28"/>
        <v>22.9</v>
      </c>
      <c r="F973" t="s">
        <v>42</v>
      </c>
      <c r="G973" t="s">
        <v>42</v>
      </c>
      <c r="H973" t="s">
        <v>42</v>
      </c>
      <c r="I973" t="s">
        <v>42</v>
      </c>
      <c r="J973" t="s">
        <v>42</v>
      </c>
      <c r="K973" t="s">
        <v>42</v>
      </c>
      <c r="L973" t="s">
        <v>42</v>
      </c>
      <c r="M973" t="s">
        <v>122</v>
      </c>
      <c r="N973" t="s">
        <v>122</v>
      </c>
    </row>
    <row r="974" spans="1:14" x14ac:dyDescent="0.25">
      <c r="A974" t="s">
        <v>61</v>
      </c>
      <c r="B974" s="5" t="s">
        <v>45</v>
      </c>
      <c r="C974" t="s">
        <v>121</v>
      </c>
      <c r="D974">
        <v>31.9</v>
      </c>
      <c r="E974">
        <f t="shared" si="28"/>
        <v>31.9</v>
      </c>
      <c r="F974" t="s">
        <v>42</v>
      </c>
      <c r="G974" t="s">
        <v>42</v>
      </c>
      <c r="H974" t="s">
        <v>42</v>
      </c>
      <c r="I974" t="s">
        <v>42</v>
      </c>
      <c r="J974" t="s">
        <v>42</v>
      </c>
      <c r="K974" t="s">
        <v>42</v>
      </c>
      <c r="L974" t="s">
        <v>42</v>
      </c>
      <c r="M974" t="s">
        <v>122</v>
      </c>
      <c r="N974" t="s">
        <v>122</v>
      </c>
    </row>
    <row r="975" spans="1:14" x14ac:dyDescent="0.25">
      <c r="A975" t="s">
        <v>61</v>
      </c>
      <c r="B975" s="5" t="s">
        <v>45</v>
      </c>
      <c r="C975" t="s">
        <v>121</v>
      </c>
      <c r="D975">
        <v>28.3</v>
      </c>
      <c r="E975">
        <f t="shared" si="28"/>
        <v>28.3</v>
      </c>
      <c r="F975" t="s">
        <v>42</v>
      </c>
      <c r="G975" t="s">
        <v>42</v>
      </c>
      <c r="H975" t="s">
        <v>42</v>
      </c>
      <c r="I975" t="s">
        <v>42</v>
      </c>
      <c r="J975" t="s">
        <v>42</v>
      </c>
      <c r="K975" t="s">
        <v>42</v>
      </c>
      <c r="L975" t="s">
        <v>42</v>
      </c>
      <c r="M975" t="s">
        <v>122</v>
      </c>
      <c r="N975" t="s">
        <v>122</v>
      </c>
    </row>
    <row r="976" spans="1:14" x14ac:dyDescent="0.25">
      <c r="A976" t="s">
        <v>61</v>
      </c>
      <c r="B976" s="5" t="s">
        <v>45</v>
      </c>
      <c r="C976" t="s">
        <v>121</v>
      </c>
      <c r="D976">
        <v>21.3</v>
      </c>
      <c r="E976">
        <f t="shared" si="28"/>
        <v>21.3</v>
      </c>
      <c r="F976" t="s">
        <v>42</v>
      </c>
      <c r="G976" t="s">
        <v>42</v>
      </c>
      <c r="H976" t="s">
        <v>42</v>
      </c>
      <c r="I976" t="s">
        <v>42</v>
      </c>
      <c r="J976" t="s">
        <v>42</v>
      </c>
      <c r="K976" t="s">
        <v>42</v>
      </c>
      <c r="L976" t="s">
        <v>42</v>
      </c>
      <c r="M976" t="s">
        <v>122</v>
      </c>
      <c r="N976" t="s">
        <v>122</v>
      </c>
    </row>
    <row r="977" spans="1:14" x14ac:dyDescent="0.25">
      <c r="A977" t="s">
        <v>61</v>
      </c>
      <c r="B977" s="5" t="s">
        <v>45</v>
      </c>
      <c r="C977" t="s">
        <v>121</v>
      </c>
      <c r="D977">
        <v>23.9</v>
      </c>
      <c r="E977">
        <f t="shared" si="28"/>
        <v>23.9</v>
      </c>
      <c r="F977" t="s">
        <v>42</v>
      </c>
      <c r="G977" t="s">
        <v>42</v>
      </c>
      <c r="H977" t="s">
        <v>42</v>
      </c>
      <c r="I977" t="s">
        <v>42</v>
      </c>
      <c r="J977" t="s">
        <v>42</v>
      </c>
      <c r="K977" t="s">
        <v>42</v>
      </c>
      <c r="L977" t="s">
        <v>42</v>
      </c>
      <c r="M977" t="s">
        <v>122</v>
      </c>
      <c r="N977" t="s">
        <v>122</v>
      </c>
    </row>
    <row r="978" spans="1:14" x14ac:dyDescent="0.25">
      <c r="A978" t="s">
        <v>61</v>
      </c>
      <c r="B978" s="5" t="s">
        <v>45</v>
      </c>
      <c r="C978" t="s">
        <v>121</v>
      </c>
      <c r="D978">
        <v>15.7</v>
      </c>
      <c r="E978">
        <f t="shared" si="28"/>
        <v>15.7</v>
      </c>
      <c r="F978" t="s">
        <v>42</v>
      </c>
      <c r="G978" t="s">
        <v>42</v>
      </c>
      <c r="H978" t="s">
        <v>42</v>
      </c>
      <c r="I978" t="s">
        <v>42</v>
      </c>
      <c r="J978" t="s">
        <v>42</v>
      </c>
      <c r="K978" t="s">
        <v>42</v>
      </c>
      <c r="L978" t="s">
        <v>42</v>
      </c>
      <c r="M978" t="s">
        <v>122</v>
      </c>
      <c r="N978" t="s">
        <v>122</v>
      </c>
    </row>
    <row r="979" spans="1:14" x14ac:dyDescent="0.25">
      <c r="A979" t="s">
        <v>61</v>
      </c>
      <c r="B979" s="5" t="s">
        <v>45</v>
      </c>
      <c r="C979" t="s">
        <v>121</v>
      </c>
      <c r="D979">
        <v>28.1</v>
      </c>
      <c r="E979">
        <f t="shared" si="28"/>
        <v>28.1</v>
      </c>
      <c r="F979" t="s">
        <v>42</v>
      </c>
      <c r="G979" t="s">
        <v>42</v>
      </c>
      <c r="H979" t="s">
        <v>42</v>
      </c>
      <c r="I979" t="s">
        <v>42</v>
      </c>
      <c r="J979" t="s">
        <v>42</v>
      </c>
      <c r="K979" t="s">
        <v>42</v>
      </c>
      <c r="L979" t="s">
        <v>42</v>
      </c>
      <c r="M979" t="s">
        <v>122</v>
      </c>
      <c r="N979" t="s">
        <v>122</v>
      </c>
    </row>
    <row r="980" spans="1:14" x14ac:dyDescent="0.25">
      <c r="A980" t="s">
        <v>61</v>
      </c>
      <c r="B980" s="5" t="s">
        <v>45</v>
      </c>
      <c r="C980" t="s">
        <v>121</v>
      </c>
      <c r="D980">
        <v>34.799999999999997</v>
      </c>
      <c r="E980">
        <f t="shared" si="28"/>
        <v>34.799999999999997</v>
      </c>
      <c r="F980" t="s">
        <v>42</v>
      </c>
      <c r="G980" t="s">
        <v>42</v>
      </c>
      <c r="H980" t="s">
        <v>42</v>
      </c>
      <c r="I980" t="s">
        <v>42</v>
      </c>
      <c r="J980" t="s">
        <v>42</v>
      </c>
      <c r="K980" t="s">
        <v>42</v>
      </c>
      <c r="L980" t="s">
        <v>42</v>
      </c>
      <c r="M980" t="s">
        <v>122</v>
      </c>
      <c r="N980" t="s">
        <v>122</v>
      </c>
    </row>
    <row r="981" spans="1:14" x14ac:dyDescent="0.25">
      <c r="A981" t="s">
        <v>61</v>
      </c>
      <c r="B981" s="5" t="s">
        <v>45</v>
      </c>
      <c r="C981" t="s">
        <v>123</v>
      </c>
      <c r="D981">
        <v>17</v>
      </c>
      <c r="E981">
        <f t="shared" si="28"/>
        <v>17</v>
      </c>
      <c r="F981" t="s">
        <v>42</v>
      </c>
      <c r="G981" t="s">
        <v>42</v>
      </c>
      <c r="H981" t="s">
        <v>42</v>
      </c>
      <c r="I981" t="s">
        <v>42</v>
      </c>
      <c r="J981" t="s">
        <v>42</v>
      </c>
      <c r="K981" t="s">
        <v>42</v>
      </c>
      <c r="L981" t="s">
        <v>42</v>
      </c>
      <c r="M981" t="s">
        <v>122</v>
      </c>
      <c r="N981" t="s">
        <v>122</v>
      </c>
    </row>
    <row r="982" spans="1:14" x14ac:dyDescent="0.25">
      <c r="A982" t="s">
        <v>61</v>
      </c>
      <c r="B982" s="5" t="s">
        <v>45</v>
      </c>
      <c r="C982" t="s">
        <v>121</v>
      </c>
      <c r="D982">
        <v>13.4</v>
      </c>
      <c r="E982">
        <f t="shared" si="28"/>
        <v>13.4</v>
      </c>
      <c r="F982" t="s">
        <v>42</v>
      </c>
      <c r="G982" t="s">
        <v>42</v>
      </c>
      <c r="H982" t="s">
        <v>42</v>
      </c>
      <c r="I982" t="s">
        <v>42</v>
      </c>
      <c r="J982" t="s">
        <v>42</v>
      </c>
      <c r="K982" t="s">
        <v>42</v>
      </c>
      <c r="L982" t="s">
        <v>42</v>
      </c>
      <c r="M982" t="s">
        <v>122</v>
      </c>
      <c r="N982" t="s">
        <v>122</v>
      </c>
    </row>
    <row r="983" spans="1:14" x14ac:dyDescent="0.25">
      <c r="A983" t="s">
        <v>61</v>
      </c>
      <c r="B983" s="5" t="s">
        <v>45</v>
      </c>
      <c r="C983" t="s">
        <v>121</v>
      </c>
      <c r="D983">
        <v>25.1</v>
      </c>
      <c r="E983">
        <f t="shared" si="28"/>
        <v>25.1</v>
      </c>
      <c r="F983" t="s">
        <v>42</v>
      </c>
      <c r="G983" t="s">
        <v>42</v>
      </c>
      <c r="H983" t="s">
        <v>42</v>
      </c>
      <c r="I983" t="s">
        <v>42</v>
      </c>
      <c r="J983" t="s">
        <v>42</v>
      </c>
      <c r="K983" t="s">
        <v>42</v>
      </c>
      <c r="L983" t="s">
        <v>42</v>
      </c>
      <c r="M983" t="s">
        <v>122</v>
      </c>
      <c r="N983" t="s">
        <v>122</v>
      </c>
    </row>
    <row r="984" spans="1:14" x14ac:dyDescent="0.25">
      <c r="A984" t="s">
        <v>61</v>
      </c>
      <c r="B984" s="5" t="s">
        <v>45</v>
      </c>
      <c r="C984" t="s">
        <v>121</v>
      </c>
      <c r="D984">
        <v>31.9</v>
      </c>
      <c r="E984">
        <f t="shared" si="28"/>
        <v>31.9</v>
      </c>
      <c r="F984" t="s">
        <v>42</v>
      </c>
      <c r="G984" t="s">
        <v>42</v>
      </c>
      <c r="H984" t="s">
        <v>42</v>
      </c>
      <c r="I984" t="s">
        <v>42</v>
      </c>
      <c r="J984" t="s">
        <v>42</v>
      </c>
      <c r="K984" t="s">
        <v>42</v>
      </c>
      <c r="L984" t="s">
        <v>42</v>
      </c>
      <c r="M984" t="s">
        <v>122</v>
      </c>
      <c r="N984" t="s">
        <v>122</v>
      </c>
    </row>
    <row r="985" spans="1:14" x14ac:dyDescent="0.25">
      <c r="A985" t="s">
        <v>61</v>
      </c>
      <c r="B985" s="5" t="s">
        <v>45</v>
      </c>
      <c r="C985" t="s">
        <v>123</v>
      </c>
      <c r="D985">
        <v>28.8</v>
      </c>
      <c r="E985">
        <f t="shared" si="28"/>
        <v>28.8</v>
      </c>
      <c r="F985" t="s">
        <v>42</v>
      </c>
      <c r="G985" t="s">
        <v>42</v>
      </c>
      <c r="H985" t="s">
        <v>42</v>
      </c>
      <c r="I985" t="s">
        <v>42</v>
      </c>
      <c r="J985" t="s">
        <v>42</v>
      </c>
      <c r="K985" t="s">
        <v>42</v>
      </c>
      <c r="L985" t="s">
        <v>42</v>
      </c>
      <c r="M985" t="s">
        <v>122</v>
      </c>
      <c r="N985" t="s">
        <v>122</v>
      </c>
    </row>
    <row r="986" spans="1:14" x14ac:dyDescent="0.25">
      <c r="A986" t="s">
        <v>61</v>
      </c>
      <c r="B986" s="5" t="s">
        <v>45</v>
      </c>
      <c r="C986" t="s">
        <v>121</v>
      </c>
      <c r="D986">
        <v>25.5</v>
      </c>
      <c r="E986">
        <f t="shared" si="28"/>
        <v>25.5</v>
      </c>
      <c r="F986" t="s">
        <v>42</v>
      </c>
      <c r="G986" t="s">
        <v>42</v>
      </c>
      <c r="H986" t="s">
        <v>42</v>
      </c>
      <c r="I986" t="s">
        <v>42</v>
      </c>
      <c r="J986" t="s">
        <v>42</v>
      </c>
      <c r="K986" t="s">
        <v>42</v>
      </c>
      <c r="L986" t="s">
        <v>42</v>
      </c>
      <c r="M986" t="s">
        <v>122</v>
      </c>
      <c r="N986" t="s">
        <v>122</v>
      </c>
    </row>
    <row r="987" spans="1:14" x14ac:dyDescent="0.25">
      <c r="A987" t="s">
        <v>61</v>
      </c>
      <c r="B987" s="5" t="s">
        <v>45</v>
      </c>
      <c r="C987" t="s">
        <v>121</v>
      </c>
      <c r="D987">
        <v>23.9</v>
      </c>
      <c r="E987">
        <f t="shared" si="28"/>
        <v>23.9</v>
      </c>
      <c r="F987" t="s">
        <v>42</v>
      </c>
      <c r="G987" t="s">
        <v>42</v>
      </c>
      <c r="H987" t="s">
        <v>42</v>
      </c>
      <c r="I987" t="s">
        <v>42</v>
      </c>
      <c r="J987" t="s">
        <v>42</v>
      </c>
      <c r="K987" t="s">
        <v>42</v>
      </c>
      <c r="L987" t="s">
        <v>42</v>
      </c>
      <c r="M987" t="s">
        <v>122</v>
      </c>
      <c r="N987" t="s">
        <v>122</v>
      </c>
    </row>
    <row r="988" spans="1:14" x14ac:dyDescent="0.25">
      <c r="A988" t="s">
        <v>61</v>
      </c>
      <c r="B988" s="5" t="s">
        <v>45</v>
      </c>
      <c r="C988" t="s">
        <v>123</v>
      </c>
      <c r="D988">
        <v>22.1</v>
      </c>
      <c r="E988">
        <f t="shared" si="28"/>
        <v>22.1</v>
      </c>
      <c r="F988" t="s">
        <v>42</v>
      </c>
      <c r="G988" t="s">
        <v>42</v>
      </c>
      <c r="H988" t="s">
        <v>42</v>
      </c>
      <c r="I988" t="s">
        <v>42</v>
      </c>
      <c r="J988" t="s">
        <v>42</v>
      </c>
      <c r="K988" t="s">
        <v>42</v>
      </c>
      <c r="L988" t="s">
        <v>42</v>
      </c>
      <c r="M988" t="s">
        <v>122</v>
      </c>
      <c r="N988" t="s">
        <v>122</v>
      </c>
    </row>
    <row r="989" spans="1:14" x14ac:dyDescent="0.25">
      <c r="A989" t="s">
        <v>61</v>
      </c>
      <c r="B989" s="5" t="s">
        <v>45</v>
      </c>
      <c r="C989" t="s">
        <v>121</v>
      </c>
      <c r="D989">
        <v>12.2</v>
      </c>
      <c r="E989">
        <f t="shared" si="28"/>
        <v>12.2</v>
      </c>
      <c r="F989" t="s">
        <v>42</v>
      </c>
      <c r="G989" t="s">
        <v>42</v>
      </c>
      <c r="H989" t="s">
        <v>42</v>
      </c>
      <c r="I989" t="s">
        <v>42</v>
      </c>
      <c r="J989" t="s">
        <v>42</v>
      </c>
      <c r="K989" t="s">
        <v>42</v>
      </c>
      <c r="L989" t="s">
        <v>42</v>
      </c>
      <c r="M989" t="s">
        <v>122</v>
      </c>
      <c r="N989" t="s">
        <v>122</v>
      </c>
    </row>
    <row r="990" spans="1:14" x14ac:dyDescent="0.25">
      <c r="A990" t="s">
        <v>61</v>
      </c>
      <c r="B990" s="5" t="s">
        <v>45</v>
      </c>
      <c r="C990" t="s">
        <v>121</v>
      </c>
      <c r="D990">
        <v>37.5</v>
      </c>
      <c r="E990">
        <f t="shared" si="28"/>
        <v>37.5</v>
      </c>
      <c r="F990" t="s">
        <v>42</v>
      </c>
      <c r="G990" t="s">
        <v>42</v>
      </c>
      <c r="H990" t="s">
        <v>42</v>
      </c>
      <c r="I990" t="s">
        <v>42</v>
      </c>
      <c r="J990" t="s">
        <v>42</v>
      </c>
      <c r="K990" t="s">
        <v>42</v>
      </c>
      <c r="L990" t="s">
        <v>42</v>
      </c>
      <c r="M990" t="s">
        <v>122</v>
      </c>
      <c r="N990" t="s">
        <v>122</v>
      </c>
    </row>
    <row r="991" spans="1:14" x14ac:dyDescent="0.25">
      <c r="A991" t="s">
        <v>64</v>
      </c>
      <c r="B991" s="5" t="s">
        <v>45</v>
      </c>
      <c r="C991" t="s">
        <v>121</v>
      </c>
      <c r="D991">
        <v>27.9</v>
      </c>
      <c r="E991">
        <f t="shared" si="28"/>
        <v>27.9</v>
      </c>
      <c r="F991" t="s">
        <v>42</v>
      </c>
      <c r="G991" t="s">
        <v>42</v>
      </c>
      <c r="H991" t="s">
        <v>42</v>
      </c>
      <c r="I991" t="s">
        <v>42</v>
      </c>
      <c r="J991" t="s">
        <v>42</v>
      </c>
      <c r="K991" t="s">
        <v>42</v>
      </c>
      <c r="L991" t="s">
        <v>42</v>
      </c>
      <c r="M991" t="s">
        <v>122</v>
      </c>
      <c r="N991" t="s">
        <v>122</v>
      </c>
    </row>
    <row r="992" spans="1:14" x14ac:dyDescent="0.25">
      <c r="A992" t="s">
        <v>64</v>
      </c>
      <c r="B992" s="5" t="s">
        <v>45</v>
      </c>
      <c r="C992" t="s">
        <v>123</v>
      </c>
      <c r="D992">
        <v>19.3</v>
      </c>
      <c r="E992">
        <f t="shared" si="28"/>
        <v>19.3</v>
      </c>
      <c r="F992" t="s">
        <v>42</v>
      </c>
      <c r="G992" t="s">
        <v>42</v>
      </c>
      <c r="H992" t="s">
        <v>42</v>
      </c>
      <c r="I992" t="s">
        <v>42</v>
      </c>
      <c r="J992" t="s">
        <v>42</v>
      </c>
      <c r="K992" t="s">
        <v>42</v>
      </c>
      <c r="L992" t="s">
        <v>42</v>
      </c>
      <c r="M992" t="s">
        <v>122</v>
      </c>
      <c r="N992" t="s">
        <v>122</v>
      </c>
    </row>
    <row r="993" spans="1:14" x14ac:dyDescent="0.25">
      <c r="A993" t="s">
        <v>64</v>
      </c>
      <c r="B993" s="5" t="s">
        <v>45</v>
      </c>
      <c r="C993" t="s">
        <v>121</v>
      </c>
      <c r="D993">
        <v>27.2</v>
      </c>
      <c r="E993">
        <f t="shared" si="28"/>
        <v>27.2</v>
      </c>
      <c r="F993" t="s">
        <v>42</v>
      </c>
      <c r="G993" t="s">
        <v>42</v>
      </c>
      <c r="H993" t="s">
        <v>42</v>
      </c>
      <c r="I993" t="s">
        <v>42</v>
      </c>
      <c r="J993" t="s">
        <v>42</v>
      </c>
      <c r="K993" t="s">
        <v>42</v>
      </c>
      <c r="L993" t="s">
        <v>42</v>
      </c>
      <c r="M993" t="s">
        <v>122</v>
      </c>
      <c r="N993" t="s">
        <v>122</v>
      </c>
    </row>
    <row r="994" spans="1:14" x14ac:dyDescent="0.25">
      <c r="A994" t="s">
        <v>64</v>
      </c>
      <c r="B994" s="5" t="s">
        <v>45</v>
      </c>
      <c r="C994" t="s">
        <v>121</v>
      </c>
      <c r="D994">
        <v>23.7</v>
      </c>
      <c r="E994">
        <f t="shared" si="28"/>
        <v>23.7</v>
      </c>
      <c r="F994" t="s">
        <v>42</v>
      </c>
      <c r="G994" t="s">
        <v>42</v>
      </c>
      <c r="H994" t="s">
        <v>42</v>
      </c>
      <c r="I994" t="s">
        <v>42</v>
      </c>
      <c r="J994" t="s">
        <v>42</v>
      </c>
      <c r="K994" t="s">
        <v>42</v>
      </c>
      <c r="L994" t="s">
        <v>42</v>
      </c>
      <c r="M994" t="s">
        <v>122</v>
      </c>
      <c r="N994" t="s">
        <v>122</v>
      </c>
    </row>
    <row r="995" spans="1:14" x14ac:dyDescent="0.25">
      <c r="A995" t="s">
        <v>64</v>
      </c>
      <c r="B995" s="5" t="s">
        <v>45</v>
      </c>
      <c r="C995" t="s">
        <v>121</v>
      </c>
      <c r="D995">
        <v>16</v>
      </c>
      <c r="E995">
        <f t="shared" si="28"/>
        <v>16</v>
      </c>
      <c r="F995" t="s">
        <v>42</v>
      </c>
      <c r="G995" t="s">
        <v>42</v>
      </c>
      <c r="H995" t="s">
        <v>42</v>
      </c>
      <c r="I995" t="s">
        <v>42</v>
      </c>
      <c r="J995" t="s">
        <v>42</v>
      </c>
      <c r="K995" t="s">
        <v>42</v>
      </c>
      <c r="L995" t="s">
        <v>42</v>
      </c>
      <c r="M995" t="s">
        <v>122</v>
      </c>
      <c r="N995" t="s">
        <v>122</v>
      </c>
    </row>
    <row r="996" spans="1:14" x14ac:dyDescent="0.25">
      <c r="A996" t="s">
        <v>64</v>
      </c>
      <c r="B996" s="5" t="s">
        <v>45</v>
      </c>
      <c r="C996" t="s">
        <v>121</v>
      </c>
      <c r="D996">
        <v>26.5</v>
      </c>
      <c r="E996">
        <f t="shared" si="28"/>
        <v>26.5</v>
      </c>
      <c r="F996" t="s">
        <v>42</v>
      </c>
      <c r="G996" t="s">
        <v>42</v>
      </c>
      <c r="H996" t="s">
        <v>42</v>
      </c>
      <c r="I996" t="s">
        <v>42</v>
      </c>
      <c r="J996" t="s">
        <v>42</v>
      </c>
      <c r="K996" t="s">
        <v>42</v>
      </c>
      <c r="L996" t="s">
        <v>42</v>
      </c>
      <c r="M996" t="s">
        <v>122</v>
      </c>
      <c r="N996" t="s">
        <v>122</v>
      </c>
    </row>
    <row r="997" spans="1:14" x14ac:dyDescent="0.25">
      <c r="A997" t="s">
        <v>64</v>
      </c>
      <c r="B997" s="5" t="s">
        <v>45</v>
      </c>
      <c r="C997" t="s">
        <v>121</v>
      </c>
      <c r="D997">
        <v>30.8</v>
      </c>
      <c r="E997">
        <f t="shared" si="28"/>
        <v>30.8</v>
      </c>
      <c r="F997" t="s">
        <v>42</v>
      </c>
      <c r="G997" t="s">
        <v>42</v>
      </c>
      <c r="H997" t="s">
        <v>42</v>
      </c>
      <c r="I997" t="s">
        <v>42</v>
      </c>
      <c r="J997" t="s">
        <v>42</v>
      </c>
      <c r="K997" t="s">
        <v>42</v>
      </c>
      <c r="L997" t="s">
        <v>42</v>
      </c>
      <c r="M997" t="s">
        <v>122</v>
      </c>
      <c r="N997" t="s">
        <v>122</v>
      </c>
    </row>
    <row r="998" spans="1:14" x14ac:dyDescent="0.25">
      <c r="A998" t="s">
        <v>64</v>
      </c>
      <c r="B998" s="5" t="s">
        <v>45</v>
      </c>
      <c r="C998" t="s">
        <v>121</v>
      </c>
      <c r="D998">
        <v>26.3</v>
      </c>
      <c r="E998">
        <f t="shared" si="28"/>
        <v>26.3</v>
      </c>
      <c r="F998" t="s">
        <v>42</v>
      </c>
      <c r="G998" t="s">
        <v>42</v>
      </c>
      <c r="H998" t="s">
        <v>42</v>
      </c>
      <c r="I998" t="s">
        <v>42</v>
      </c>
      <c r="J998" t="s">
        <v>42</v>
      </c>
      <c r="K998" t="s">
        <v>42</v>
      </c>
      <c r="L998" t="s">
        <v>42</v>
      </c>
      <c r="M998" t="s">
        <v>122</v>
      </c>
      <c r="N998" t="s">
        <v>122</v>
      </c>
    </row>
    <row r="999" spans="1:14" x14ac:dyDescent="0.25">
      <c r="A999" t="s">
        <v>64</v>
      </c>
      <c r="B999" s="5" t="s">
        <v>45</v>
      </c>
      <c r="C999" t="s">
        <v>121</v>
      </c>
      <c r="D999">
        <v>35.200000000000003</v>
      </c>
      <c r="E999">
        <f t="shared" si="28"/>
        <v>35.200000000000003</v>
      </c>
      <c r="F999" t="s">
        <v>42</v>
      </c>
      <c r="G999" t="s">
        <v>42</v>
      </c>
      <c r="H999" t="s">
        <v>42</v>
      </c>
      <c r="I999" t="s">
        <v>42</v>
      </c>
      <c r="J999" t="s">
        <v>42</v>
      </c>
      <c r="K999" t="s">
        <v>42</v>
      </c>
      <c r="L999" t="s">
        <v>42</v>
      </c>
      <c r="M999" t="s">
        <v>122</v>
      </c>
      <c r="N999" t="s">
        <v>122</v>
      </c>
    </row>
    <row r="1000" spans="1:14" x14ac:dyDescent="0.25">
      <c r="A1000" t="s">
        <v>64</v>
      </c>
      <c r="B1000" s="5" t="s">
        <v>45</v>
      </c>
      <c r="C1000" t="s">
        <v>121</v>
      </c>
      <c r="D1000">
        <v>27.8</v>
      </c>
      <c r="E1000">
        <f t="shared" si="28"/>
        <v>27.8</v>
      </c>
      <c r="F1000" t="s">
        <v>42</v>
      </c>
      <c r="G1000" t="s">
        <v>42</v>
      </c>
      <c r="H1000" t="s">
        <v>42</v>
      </c>
      <c r="I1000" t="s">
        <v>42</v>
      </c>
      <c r="J1000" t="s">
        <v>42</v>
      </c>
      <c r="K1000" t="s">
        <v>42</v>
      </c>
      <c r="L1000" t="s">
        <v>42</v>
      </c>
      <c r="M1000" t="s">
        <v>122</v>
      </c>
      <c r="N1000" t="s">
        <v>122</v>
      </c>
    </row>
    <row r="1001" spans="1:14" x14ac:dyDescent="0.25">
      <c r="A1001" t="s">
        <v>64</v>
      </c>
      <c r="B1001" s="5" t="s">
        <v>45</v>
      </c>
      <c r="C1001" t="s">
        <v>121</v>
      </c>
      <c r="D1001">
        <v>33.5</v>
      </c>
      <c r="E1001">
        <f t="shared" si="28"/>
        <v>33.5</v>
      </c>
      <c r="F1001" t="s">
        <v>42</v>
      </c>
      <c r="G1001" t="s">
        <v>42</v>
      </c>
      <c r="H1001" t="s">
        <v>42</v>
      </c>
      <c r="I1001" t="s">
        <v>42</v>
      </c>
      <c r="J1001" t="s">
        <v>42</v>
      </c>
      <c r="K1001" t="s">
        <v>42</v>
      </c>
      <c r="L1001" t="s">
        <v>42</v>
      </c>
      <c r="M1001" t="s">
        <v>122</v>
      </c>
      <c r="N1001" t="s">
        <v>122</v>
      </c>
    </row>
    <row r="1002" spans="1:14" x14ac:dyDescent="0.25">
      <c r="A1002" t="s">
        <v>64</v>
      </c>
      <c r="B1002" s="5" t="s">
        <v>45</v>
      </c>
      <c r="C1002" t="s">
        <v>121</v>
      </c>
      <c r="D1002">
        <v>17</v>
      </c>
      <c r="E1002">
        <f t="shared" si="28"/>
        <v>17</v>
      </c>
      <c r="F1002" t="s">
        <v>42</v>
      </c>
      <c r="G1002" t="s">
        <v>42</v>
      </c>
      <c r="H1002" t="s">
        <v>42</v>
      </c>
      <c r="I1002" t="s">
        <v>42</v>
      </c>
      <c r="J1002" t="s">
        <v>42</v>
      </c>
      <c r="K1002" t="s">
        <v>42</v>
      </c>
      <c r="L1002" t="s">
        <v>42</v>
      </c>
      <c r="M1002" t="s">
        <v>122</v>
      </c>
      <c r="N1002" t="s">
        <v>122</v>
      </c>
    </row>
    <row r="1003" spans="1:14" x14ac:dyDescent="0.25">
      <c r="A1003" t="s">
        <v>64</v>
      </c>
      <c r="B1003" s="5" t="s">
        <v>45</v>
      </c>
      <c r="C1003" t="s">
        <v>123</v>
      </c>
      <c r="D1003">
        <v>26.9</v>
      </c>
      <c r="E1003">
        <f t="shared" si="28"/>
        <v>26.9</v>
      </c>
      <c r="F1003" t="s">
        <v>42</v>
      </c>
      <c r="G1003" t="s">
        <v>42</v>
      </c>
      <c r="H1003" t="s">
        <v>42</v>
      </c>
      <c r="I1003" t="s">
        <v>42</v>
      </c>
      <c r="J1003" t="s">
        <v>42</v>
      </c>
      <c r="K1003" t="s">
        <v>42</v>
      </c>
      <c r="L1003" t="s">
        <v>42</v>
      </c>
      <c r="M1003" t="s">
        <v>122</v>
      </c>
      <c r="N1003" t="s">
        <v>122</v>
      </c>
    </row>
    <row r="1004" spans="1:14" x14ac:dyDescent="0.25">
      <c r="A1004" t="s">
        <v>64</v>
      </c>
      <c r="B1004" s="5" t="s">
        <v>45</v>
      </c>
      <c r="C1004" t="s">
        <v>123</v>
      </c>
      <c r="D1004">
        <v>11.7</v>
      </c>
      <c r="E1004">
        <f t="shared" si="28"/>
        <v>11.7</v>
      </c>
      <c r="F1004" t="s">
        <v>42</v>
      </c>
      <c r="G1004" t="s">
        <v>42</v>
      </c>
      <c r="H1004" t="s">
        <v>42</v>
      </c>
      <c r="I1004" t="s">
        <v>42</v>
      </c>
      <c r="J1004" t="s">
        <v>42</v>
      </c>
      <c r="K1004" t="s">
        <v>42</v>
      </c>
      <c r="L1004" t="s">
        <v>42</v>
      </c>
      <c r="M1004" t="s">
        <v>122</v>
      </c>
      <c r="N1004" t="s">
        <v>122</v>
      </c>
    </row>
    <row r="1005" spans="1:14" x14ac:dyDescent="0.25">
      <c r="A1005" t="s">
        <v>64</v>
      </c>
      <c r="B1005" s="5" t="s">
        <v>45</v>
      </c>
      <c r="C1005" t="s">
        <v>121</v>
      </c>
      <c r="D1005">
        <v>18.399999999999999</v>
      </c>
      <c r="E1005">
        <f t="shared" si="28"/>
        <v>18.399999999999999</v>
      </c>
      <c r="F1005" t="s">
        <v>42</v>
      </c>
      <c r="G1005" t="s">
        <v>42</v>
      </c>
      <c r="H1005" t="s">
        <v>42</v>
      </c>
      <c r="I1005" t="s">
        <v>42</v>
      </c>
      <c r="J1005" t="s">
        <v>42</v>
      </c>
      <c r="K1005" t="s">
        <v>42</v>
      </c>
      <c r="L1005" t="s">
        <v>42</v>
      </c>
      <c r="M1005" t="s">
        <v>122</v>
      </c>
      <c r="N1005" t="s">
        <v>122</v>
      </c>
    </row>
    <row r="1006" spans="1:14" x14ac:dyDescent="0.25">
      <c r="A1006" t="s">
        <v>64</v>
      </c>
      <c r="B1006" s="5" t="s">
        <v>45</v>
      </c>
      <c r="C1006" t="s">
        <v>121</v>
      </c>
      <c r="D1006">
        <v>16.2</v>
      </c>
      <c r="E1006">
        <f t="shared" si="28"/>
        <v>16.2</v>
      </c>
      <c r="F1006" t="s">
        <v>42</v>
      </c>
      <c r="G1006" t="s">
        <v>42</v>
      </c>
      <c r="H1006" t="s">
        <v>42</v>
      </c>
      <c r="I1006" t="s">
        <v>42</v>
      </c>
      <c r="J1006" t="s">
        <v>42</v>
      </c>
      <c r="K1006" t="s">
        <v>42</v>
      </c>
      <c r="L1006" t="s">
        <v>42</v>
      </c>
      <c r="M1006" t="s">
        <v>122</v>
      </c>
      <c r="N1006" t="s">
        <v>122</v>
      </c>
    </row>
    <row r="1007" spans="1:14" x14ac:dyDescent="0.25">
      <c r="A1007" t="s">
        <v>64</v>
      </c>
      <c r="B1007" s="5" t="s">
        <v>45</v>
      </c>
      <c r="C1007" t="s">
        <v>121</v>
      </c>
      <c r="D1007">
        <v>24.1</v>
      </c>
      <c r="E1007">
        <f t="shared" si="28"/>
        <v>24.1</v>
      </c>
      <c r="F1007" t="s">
        <v>42</v>
      </c>
      <c r="G1007" t="s">
        <v>42</v>
      </c>
      <c r="H1007" t="s">
        <v>42</v>
      </c>
      <c r="I1007" t="s">
        <v>42</v>
      </c>
      <c r="J1007" t="s">
        <v>42</v>
      </c>
      <c r="K1007" t="s">
        <v>42</v>
      </c>
      <c r="L1007" t="s">
        <v>42</v>
      </c>
      <c r="M1007" t="s">
        <v>122</v>
      </c>
      <c r="N1007" t="s">
        <v>122</v>
      </c>
    </row>
    <row r="1008" spans="1:14" x14ac:dyDescent="0.25">
      <c r="A1008" t="s">
        <v>64</v>
      </c>
      <c r="B1008" s="5" t="s">
        <v>45</v>
      </c>
      <c r="C1008" t="s">
        <v>121</v>
      </c>
      <c r="D1008">
        <v>29.3</v>
      </c>
      <c r="E1008">
        <f t="shared" si="28"/>
        <v>29.3</v>
      </c>
      <c r="F1008" t="s">
        <v>42</v>
      </c>
      <c r="G1008" t="s">
        <v>42</v>
      </c>
      <c r="H1008" t="s">
        <v>42</v>
      </c>
      <c r="I1008" t="s">
        <v>42</v>
      </c>
      <c r="J1008" t="s">
        <v>42</v>
      </c>
      <c r="K1008" t="s">
        <v>42</v>
      </c>
      <c r="L1008" t="s">
        <v>42</v>
      </c>
      <c r="M1008" t="s">
        <v>122</v>
      </c>
      <c r="N1008" t="s">
        <v>122</v>
      </c>
    </row>
    <row r="1009" spans="1:14" x14ac:dyDescent="0.25">
      <c r="A1009" t="s">
        <v>64</v>
      </c>
      <c r="B1009" s="5" t="s">
        <v>45</v>
      </c>
      <c r="C1009" t="s">
        <v>121</v>
      </c>
      <c r="D1009">
        <v>31.4</v>
      </c>
      <c r="E1009">
        <f t="shared" si="28"/>
        <v>31.4</v>
      </c>
      <c r="F1009" t="s">
        <v>42</v>
      </c>
      <c r="G1009" t="s">
        <v>42</v>
      </c>
      <c r="H1009" t="s">
        <v>42</v>
      </c>
      <c r="I1009" t="s">
        <v>42</v>
      </c>
      <c r="J1009" t="s">
        <v>42</v>
      </c>
      <c r="K1009" t="s">
        <v>42</v>
      </c>
      <c r="L1009" t="s">
        <v>42</v>
      </c>
      <c r="M1009" t="s">
        <v>122</v>
      </c>
      <c r="N1009" t="s">
        <v>122</v>
      </c>
    </row>
    <row r="1010" spans="1:14" x14ac:dyDescent="0.25">
      <c r="A1010" t="s">
        <v>64</v>
      </c>
      <c r="B1010" s="5" t="s">
        <v>45</v>
      </c>
      <c r="C1010" t="s">
        <v>121</v>
      </c>
      <c r="D1010">
        <v>16.399999999999999</v>
      </c>
      <c r="E1010">
        <f t="shared" si="28"/>
        <v>16.399999999999999</v>
      </c>
      <c r="F1010" t="s">
        <v>42</v>
      </c>
      <c r="G1010" t="s">
        <v>42</v>
      </c>
      <c r="H1010" t="s">
        <v>42</v>
      </c>
      <c r="I1010" t="s">
        <v>42</v>
      </c>
      <c r="J1010" t="s">
        <v>42</v>
      </c>
      <c r="K1010" t="s">
        <v>42</v>
      </c>
      <c r="L1010" t="s">
        <v>42</v>
      </c>
      <c r="M1010" t="s">
        <v>122</v>
      </c>
      <c r="N1010" t="s">
        <v>122</v>
      </c>
    </row>
    <row r="1011" spans="1:14" x14ac:dyDescent="0.25">
      <c r="A1011" t="s">
        <v>64</v>
      </c>
      <c r="B1011" s="5" t="s">
        <v>45</v>
      </c>
      <c r="C1011" t="s">
        <v>121</v>
      </c>
      <c r="D1011">
        <v>35.9</v>
      </c>
      <c r="E1011">
        <f t="shared" si="28"/>
        <v>35.9</v>
      </c>
      <c r="F1011" t="s">
        <v>42</v>
      </c>
      <c r="G1011" t="s">
        <v>42</v>
      </c>
      <c r="H1011" t="s">
        <v>42</v>
      </c>
      <c r="I1011" t="s">
        <v>42</v>
      </c>
      <c r="J1011" t="s">
        <v>42</v>
      </c>
      <c r="K1011" t="s">
        <v>42</v>
      </c>
      <c r="L1011" t="s">
        <v>42</v>
      </c>
      <c r="M1011" t="s">
        <v>122</v>
      </c>
      <c r="N1011" t="s">
        <v>122</v>
      </c>
    </row>
    <row r="1012" spans="1:14" x14ac:dyDescent="0.25">
      <c r="A1012" t="s">
        <v>64</v>
      </c>
      <c r="B1012" s="5" t="s">
        <v>45</v>
      </c>
      <c r="C1012" t="s">
        <v>121</v>
      </c>
      <c r="D1012">
        <v>22.3</v>
      </c>
      <c r="E1012">
        <f t="shared" si="28"/>
        <v>22.3</v>
      </c>
      <c r="F1012" t="s">
        <v>42</v>
      </c>
      <c r="G1012" t="s">
        <v>42</v>
      </c>
      <c r="H1012" t="s">
        <v>42</v>
      </c>
      <c r="I1012" t="s">
        <v>42</v>
      </c>
      <c r="J1012" t="s">
        <v>42</v>
      </c>
      <c r="K1012" t="s">
        <v>42</v>
      </c>
      <c r="L1012" t="s">
        <v>42</v>
      </c>
      <c r="M1012" t="s">
        <v>122</v>
      </c>
      <c r="N1012" t="s">
        <v>122</v>
      </c>
    </row>
    <row r="1013" spans="1:14" x14ac:dyDescent="0.25">
      <c r="A1013" t="s">
        <v>64</v>
      </c>
      <c r="B1013" s="5" t="s">
        <v>45</v>
      </c>
      <c r="C1013" t="s">
        <v>121</v>
      </c>
      <c r="D1013">
        <v>24.2</v>
      </c>
      <c r="E1013">
        <f t="shared" si="28"/>
        <v>24.2</v>
      </c>
      <c r="F1013" t="s">
        <v>42</v>
      </c>
      <c r="G1013" t="s">
        <v>42</v>
      </c>
      <c r="H1013" t="s">
        <v>42</v>
      </c>
      <c r="I1013" t="s">
        <v>42</v>
      </c>
      <c r="J1013" t="s">
        <v>42</v>
      </c>
      <c r="K1013" t="s">
        <v>42</v>
      </c>
      <c r="L1013" t="s">
        <v>42</v>
      </c>
      <c r="M1013" t="s">
        <v>122</v>
      </c>
      <c r="N1013" t="s">
        <v>122</v>
      </c>
    </row>
    <row r="1014" spans="1:14" x14ac:dyDescent="0.25">
      <c r="A1014" t="s">
        <v>64</v>
      </c>
      <c r="B1014" s="5" t="s">
        <v>45</v>
      </c>
      <c r="C1014" t="s">
        <v>121</v>
      </c>
      <c r="D1014">
        <v>24.7</v>
      </c>
      <c r="E1014">
        <f t="shared" si="28"/>
        <v>24.7</v>
      </c>
      <c r="F1014" t="s">
        <v>42</v>
      </c>
      <c r="G1014" t="s">
        <v>42</v>
      </c>
      <c r="H1014" t="s">
        <v>42</v>
      </c>
      <c r="I1014" t="s">
        <v>42</v>
      </c>
      <c r="J1014" t="s">
        <v>42</v>
      </c>
      <c r="K1014" t="s">
        <v>42</v>
      </c>
      <c r="L1014" t="s">
        <v>42</v>
      </c>
      <c r="M1014" t="s">
        <v>122</v>
      </c>
      <c r="N1014" t="s">
        <v>122</v>
      </c>
    </row>
    <row r="1015" spans="1:14" x14ac:dyDescent="0.25">
      <c r="A1015" t="s">
        <v>64</v>
      </c>
      <c r="B1015" s="5" t="s">
        <v>45</v>
      </c>
      <c r="C1015" t="s">
        <v>121</v>
      </c>
      <c r="D1015">
        <v>26.8</v>
      </c>
      <c r="E1015">
        <f t="shared" si="28"/>
        <v>26.8</v>
      </c>
      <c r="F1015" t="s">
        <v>42</v>
      </c>
      <c r="G1015" t="s">
        <v>42</v>
      </c>
      <c r="H1015" t="s">
        <v>42</v>
      </c>
      <c r="I1015" t="s">
        <v>42</v>
      </c>
      <c r="J1015" t="s">
        <v>42</v>
      </c>
      <c r="K1015" t="s">
        <v>42</v>
      </c>
      <c r="L1015" t="s">
        <v>42</v>
      </c>
      <c r="M1015" t="s">
        <v>122</v>
      </c>
      <c r="N1015" t="s">
        <v>122</v>
      </c>
    </row>
    <row r="1016" spans="1:14" x14ac:dyDescent="0.25">
      <c r="A1016" t="s">
        <v>64</v>
      </c>
      <c r="B1016" s="5" t="s">
        <v>45</v>
      </c>
      <c r="C1016" t="s">
        <v>121</v>
      </c>
      <c r="D1016">
        <v>38.6</v>
      </c>
      <c r="E1016">
        <f t="shared" si="28"/>
        <v>38.6</v>
      </c>
      <c r="F1016" t="s">
        <v>42</v>
      </c>
      <c r="G1016" t="s">
        <v>42</v>
      </c>
      <c r="H1016" t="s">
        <v>42</v>
      </c>
      <c r="I1016" t="s">
        <v>42</v>
      </c>
      <c r="J1016" t="s">
        <v>42</v>
      </c>
      <c r="K1016" t="s">
        <v>42</v>
      </c>
      <c r="L1016" t="s">
        <v>42</v>
      </c>
      <c r="M1016" t="s">
        <v>122</v>
      </c>
      <c r="N1016" t="s">
        <v>122</v>
      </c>
    </row>
    <row r="1017" spans="1:14" x14ac:dyDescent="0.25">
      <c r="A1017" t="s">
        <v>64</v>
      </c>
      <c r="B1017" s="5" t="s">
        <v>45</v>
      </c>
      <c r="C1017" t="s">
        <v>121</v>
      </c>
      <c r="D1017">
        <v>19.600000000000001</v>
      </c>
      <c r="E1017">
        <f t="shared" si="28"/>
        <v>19.600000000000001</v>
      </c>
      <c r="F1017" t="s">
        <v>42</v>
      </c>
      <c r="G1017" t="s">
        <v>42</v>
      </c>
      <c r="H1017" t="s">
        <v>42</v>
      </c>
      <c r="I1017" t="s">
        <v>42</v>
      </c>
      <c r="J1017" t="s">
        <v>42</v>
      </c>
      <c r="K1017" t="s">
        <v>42</v>
      </c>
      <c r="L1017" t="s">
        <v>42</v>
      </c>
      <c r="M1017" t="s">
        <v>122</v>
      </c>
      <c r="N1017" t="s">
        <v>122</v>
      </c>
    </row>
    <row r="1018" spans="1:14" x14ac:dyDescent="0.25">
      <c r="A1018" t="s">
        <v>64</v>
      </c>
      <c r="B1018" s="5" t="s">
        <v>45</v>
      </c>
      <c r="C1018" t="s">
        <v>123</v>
      </c>
      <c r="D1018">
        <v>23.3</v>
      </c>
      <c r="E1018">
        <f t="shared" si="28"/>
        <v>23.3</v>
      </c>
      <c r="F1018" t="s">
        <v>42</v>
      </c>
      <c r="G1018" t="s">
        <v>42</v>
      </c>
      <c r="H1018" t="s">
        <v>42</v>
      </c>
      <c r="I1018" t="s">
        <v>42</v>
      </c>
      <c r="J1018" t="s">
        <v>42</v>
      </c>
      <c r="K1018" t="s">
        <v>42</v>
      </c>
      <c r="L1018" t="s">
        <v>42</v>
      </c>
      <c r="M1018" t="s">
        <v>122</v>
      </c>
      <c r="N1018" t="s">
        <v>122</v>
      </c>
    </row>
    <row r="1019" spans="1:14" x14ac:dyDescent="0.25">
      <c r="A1019" t="s">
        <v>64</v>
      </c>
      <c r="B1019" s="5" t="s">
        <v>45</v>
      </c>
      <c r="C1019" t="s">
        <v>121</v>
      </c>
      <c r="D1019">
        <v>17.5</v>
      </c>
      <c r="E1019">
        <f t="shared" si="28"/>
        <v>17.5</v>
      </c>
      <c r="F1019" t="s">
        <v>42</v>
      </c>
      <c r="G1019" t="s">
        <v>42</v>
      </c>
      <c r="H1019" t="s">
        <v>42</v>
      </c>
      <c r="I1019" t="s">
        <v>42</v>
      </c>
      <c r="J1019" t="s">
        <v>42</v>
      </c>
      <c r="K1019" t="s">
        <v>42</v>
      </c>
      <c r="L1019" t="s">
        <v>42</v>
      </c>
      <c r="M1019" t="s">
        <v>122</v>
      </c>
      <c r="N1019" t="s">
        <v>122</v>
      </c>
    </row>
    <row r="1020" spans="1:14" x14ac:dyDescent="0.25">
      <c r="A1020" t="s">
        <v>64</v>
      </c>
      <c r="B1020" s="5" t="s">
        <v>45</v>
      </c>
      <c r="C1020" t="s">
        <v>121</v>
      </c>
      <c r="D1020">
        <v>13.1</v>
      </c>
      <c r="E1020">
        <f t="shared" si="28"/>
        <v>13.1</v>
      </c>
      <c r="F1020" t="s">
        <v>42</v>
      </c>
      <c r="G1020" t="s">
        <v>42</v>
      </c>
      <c r="H1020" t="s">
        <v>42</v>
      </c>
      <c r="I1020" t="s">
        <v>42</v>
      </c>
      <c r="J1020" t="s">
        <v>42</v>
      </c>
      <c r="K1020" t="s">
        <v>42</v>
      </c>
      <c r="L1020" t="s">
        <v>42</v>
      </c>
      <c r="M1020" t="s">
        <v>122</v>
      </c>
      <c r="N1020" t="s">
        <v>122</v>
      </c>
    </row>
    <row r="1021" spans="1:14" x14ac:dyDescent="0.25">
      <c r="A1021" t="s">
        <v>64</v>
      </c>
      <c r="B1021" s="5" t="s">
        <v>45</v>
      </c>
      <c r="C1021" t="s">
        <v>123</v>
      </c>
      <c r="D1021">
        <v>16.600000000000001</v>
      </c>
      <c r="E1021">
        <f t="shared" si="28"/>
        <v>16.600000000000001</v>
      </c>
      <c r="F1021" t="s">
        <v>42</v>
      </c>
      <c r="G1021" t="s">
        <v>42</v>
      </c>
      <c r="H1021" t="s">
        <v>42</v>
      </c>
      <c r="I1021" t="s">
        <v>42</v>
      </c>
      <c r="J1021" t="s">
        <v>42</v>
      </c>
      <c r="K1021" t="s">
        <v>42</v>
      </c>
      <c r="L1021" t="s">
        <v>42</v>
      </c>
      <c r="M1021" t="s">
        <v>122</v>
      </c>
      <c r="N1021" t="s">
        <v>122</v>
      </c>
    </row>
    <row r="1022" spans="1:14" x14ac:dyDescent="0.25">
      <c r="A1022" t="s">
        <v>64</v>
      </c>
      <c r="B1022" s="5" t="s">
        <v>45</v>
      </c>
      <c r="C1022" t="s">
        <v>121</v>
      </c>
      <c r="D1022">
        <v>24.9</v>
      </c>
      <c r="E1022">
        <f t="shared" si="28"/>
        <v>24.9</v>
      </c>
      <c r="F1022" t="s">
        <v>42</v>
      </c>
      <c r="G1022" t="s">
        <v>42</v>
      </c>
      <c r="H1022" t="s">
        <v>42</v>
      </c>
      <c r="I1022" t="s">
        <v>42</v>
      </c>
      <c r="J1022" t="s">
        <v>42</v>
      </c>
      <c r="K1022" t="s">
        <v>42</v>
      </c>
      <c r="L1022" t="s">
        <v>42</v>
      </c>
      <c r="M1022" t="s">
        <v>122</v>
      </c>
      <c r="N1022" t="s">
        <v>122</v>
      </c>
    </row>
    <row r="1023" spans="1:14" x14ac:dyDescent="0.25">
      <c r="A1023" t="s">
        <v>64</v>
      </c>
      <c r="B1023" s="5" t="s">
        <v>45</v>
      </c>
      <c r="C1023" t="s">
        <v>121</v>
      </c>
      <c r="D1023">
        <v>35.6</v>
      </c>
      <c r="E1023">
        <f t="shared" si="28"/>
        <v>35.6</v>
      </c>
      <c r="F1023" t="s">
        <v>42</v>
      </c>
      <c r="G1023" t="s">
        <v>42</v>
      </c>
      <c r="H1023" t="s">
        <v>42</v>
      </c>
      <c r="I1023" t="s">
        <v>42</v>
      </c>
      <c r="J1023" t="s">
        <v>42</v>
      </c>
      <c r="K1023" t="s">
        <v>42</v>
      </c>
      <c r="L1023" t="s">
        <v>42</v>
      </c>
      <c r="M1023" t="s">
        <v>122</v>
      </c>
      <c r="N1023" t="s">
        <v>122</v>
      </c>
    </row>
    <row r="1024" spans="1:14" x14ac:dyDescent="0.25">
      <c r="A1024" t="s">
        <v>64</v>
      </c>
      <c r="B1024" s="5" t="s">
        <v>45</v>
      </c>
      <c r="C1024" t="s">
        <v>123</v>
      </c>
      <c r="D1024">
        <v>11</v>
      </c>
      <c r="E1024">
        <f t="shared" si="28"/>
        <v>11</v>
      </c>
      <c r="F1024" t="s">
        <v>42</v>
      </c>
      <c r="G1024" t="s">
        <v>42</v>
      </c>
      <c r="H1024" t="s">
        <v>42</v>
      </c>
      <c r="I1024" t="s">
        <v>42</v>
      </c>
      <c r="J1024" t="s">
        <v>42</v>
      </c>
      <c r="K1024" t="s">
        <v>42</v>
      </c>
      <c r="L1024" t="s">
        <v>42</v>
      </c>
      <c r="M1024" t="s">
        <v>122</v>
      </c>
      <c r="N1024" t="s">
        <v>122</v>
      </c>
    </row>
    <row r="1025" spans="1:14" x14ac:dyDescent="0.25">
      <c r="A1025" t="s">
        <v>64</v>
      </c>
      <c r="B1025" s="5" t="s">
        <v>45</v>
      </c>
      <c r="C1025" t="s">
        <v>121</v>
      </c>
      <c r="D1025">
        <v>20.5</v>
      </c>
      <c r="E1025">
        <f t="shared" si="28"/>
        <v>20.5</v>
      </c>
      <c r="F1025" t="s">
        <v>42</v>
      </c>
      <c r="G1025" t="s">
        <v>42</v>
      </c>
      <c r="H1025" t="s">
        <v>42</v>
      </c>
      <c r="I1025" t="s">
        <v>42</v>
      </c>
      <c r="J1025" t="s">
        <v>42</v>
      </c>
      <c r="K1025" t="s">
        <v>42</v>
      </c>
      <c r="L1025" t="s">
        <v>42</v>
      </c>
      <c r="M1025" t="s">
        <v>122</v>
      </c>
      <c r="N1025" t="s">
        <v>122</v>
      </c>
    </row>
    <row r="1026" spans="1:14" x14ac:dyDescent="0.25">
      <c r="A1026" t="s">
        <v>64</v>
      </c>
      <c r="B1026" s="5" t="s">
        <v>45</v>
      </c>
      <c r="C1026" t="s">
        <v>121</v>
      </c>
      <c r="D1026">
        <v>26.2</v>
      </c>
      <c r="E1026">
        <f t="shared" ref="E1026:E1070" si="29">D1026</f>
        <v>26.2</v>
      </c>
      <c r="F1026" t="s">
        <v>42</v>
      </c>
      <c r="G1026" t="s">
        <v>42</v>
      </c>
      <c r="H1026" t="s">
        <v>42</v>
      </c>
      <c r="I1026" t="s">
        <v>42</v>
      </c>
      <c r="J1026" t="s">
        <v>42</v>
      </c>
      <c r="K1026" t="s">
        <v>42</v>
      </c>
      <c r="L1026" t="s">
        <v>42</v>
      </c>
      <c r="M1026" t="s">
        <v>122</v>
      </c>
      <c r="N1026" t="s">
        <v>122</v>
      </c>
    </row>
    <row r="1027" spans="1:14" x14ac:dyDescent="0.25">
      <c r="A1027" t="s">
        <v>64</v>
      </c>
      <c r="B1027" s="5" t="s">
        <v>45</v>
      </c>
      <c r="C1027" t="s">
        <v>121</v>
      </c>
      <c r="D1027">
        <v>18.3</v>
      </c>
      <c r="E1027">
        <f t="shared" si="29"/>
        <v>18.3</v>
      </c>
      <c r="F1027" t="s">
        <v>42</v>
      </c>
      <c r="G1027" t="s">
        <v>42</v>
      </c>
      <c r="H1027" t="s">
        <v>42</v>
      </c>
      <c r="I1027" t="s">
        <v>42</v>
      </c>
      <c r="J1027" t="s">
        <v>42</v>
      </c>
      <c r="K1027" t="s">
        <v>42</v>
      </c>
      <c r="L1027" t="s">
        <v>42</v>
      </c>
      <c r="M1027" t="s">
        <v>122</v>
      </c>
      <c r="N1027" t="s">
        <v>122</v>
      </c>
    </row>
    <row r="1028" spans="1:14" x14ac:dyDescent="0.25">
      <c r="A1028" t="s">
        <v>64</v>
      </c>
      <c r="B1028" s="5" t="s">
        <v>45</v>
      </c>
      <c r="C1028" t="s">
        <v>121</v>
      </c>
      <c r="D1028">
        <v>31.3</v>
      </c>
      <c r="E1028">
        <f t="shared" si="29"/>
        <v>31.3</v>
      </c>
      <c r="F1028" t="s">
        <v>42</v>
      </c>
      <c r="G1028" t="s">
        <v>42</v>
      </c>
      <c r="H1028" t="s">
        <v>42</v>
      </c>
      <c r="I1028" t="s">
        <v>42</v>
      </c>
      <c r="J1028" t="s">
        <v>42</v>
      </c>
      <c r="K1028" t="s">
        <v>42</v>
      </c>
      <c r="L1028" t="s">
        <v>42</v>
      </c>
      <c r="M1028" t="s">
        <v>122</v>
      </c>
      <c r="N1028" t="s">
        <v>122</v>
      </c>
    </row>
    <row r="1029" spans="1:14" x14ac:dyDescent="0.25">
      <c r="A1029" t="s">
        <v>64</v>
      </c>
      <c r="B1029" s="5" t="s">
        <v>45</v>
      </c>
      <c r="C1029" t="s">
        <v>121</v>
      </c>
      <c r="D1029">
        <v>25.5</v>
      </c>
      <c r="E1029">
        <f t="shared" si="29"/>
        <v>25.5</v>
      </c>
      <c r="F1029" t="s">
        <v>42</v>
      </c>
      <c r="G1029" t="s">
        <v>42</v>
      </c>
      <c r="H1029" t="s">
        <v>42</v>
      </c>
      <c r="I1029" t="s">
        <v>42</v>
      </c>
      <c r="J1029" t="s">
        <v>42</v>
      </c>
      <c r="K1029" t="s">
        <v>42</v>
      </c>
      <c r="L1029" t="s">
        <v>42</v>
      </c>
      <c r="M1029" t="s">
        <v>122</v>
      </c>
      <c r="N1029" t="s">
        <v>122</v>
      </c>
    </row>
    <row r="1030" spans="1:14" x14ac:dyDescent="0.25">
      <c r="A1030" t="s">
        <v>64</v>
      </c>
      <c r="B1030" s="5" t="s">
        <v>45</v>
      </c>
      <c r="C1030" t="s">
        <v>121</v>
      </c>
      <c r="D1030">
        <v>32.6</v>
      </c>
      <c r="E1030">
        <f t="shared" si="29"/>
        <v>32.6</v>
      </c>
      <c r="F1030" t="s">
        <v>42</v>
      </c>
      <c r="G1030" t="s">
        <v>42</v>
      </c>
      <c r="H1030" t="s">
        <v>42</v>
      </c>
      <c r="I1030" t="s">
        <v>42</v>
      </c>
      <c r="J1030" t="s">
        <v>42</v>
      </c>
      <c r="K1030" t="s">
        <v>42</v>
      </c>
      <c r="L1030" t="s">
        <v>42</v>
      </c>
      <c r="M1030" t="s">
        <v>122</v>
      </c>
      <c r="N1030" t="s">
        <v>122</v>
      </c>
    </row>
    <row r="1031" spans="1:14" x14ac:dyDescent="0.25">
      <c r="A1031" t="s">
        <v>64</v>
      </c>
      <c r="B1031" s="5" t="s">
        <v>45</v>
      </c>
      <c r="C1031" t="s">
        <v>121</v>
      </c>
      <c r="D1031">
        <v>32.299999999999997</v>
      </c>
      <c r="E1031">
        <f t="shared" si="29"/>
        <v>32.299999999999997</v>
      </c>
      <c r="F1031" t="s">
        <v>42</v>
      </c>
      <c r="G1031" t="s">
        <v>42</v>
      </c>
      <c r="H1031" t="s">
        <v>42</v>
      </c>
      <c r="I1031" t="s">
        <v>42</v>
      </c>
      <c r="J1031" t="s">
        <v>42</v>
      </c>
      <c r="K1031" t="s">
        <v>42</v>
      </c>
      <c r="L1031" t="s">
        <v>42</v>
      </c>
      <c r="M1031" t="s">
        <v>122</v>
      </c>
      <c r="N1031" t="s">
        <v>122</v>
      </c>
    </row>
    <row r="1032" spans="1:14" x14ac:dyDescent="0.25">
      <c r="A1032" t="s">
        <v>64</v>
      </c>
      <c r="B1032" s="5" t="s">
        <v>45</v>
      </c>
      <c r="C1032" t="s">
        <v>121</v>
      </c>
      <c r="D1032">
        <v>22.1</v>
      </c>
      <c r="E1032">
        <f t="shared" si="29"/>
        <v>22.1</v>
      </c>
      <c r="F1032" t="s">
        <v>42</v>
      </c>
      <c r="G1032" t="s">
        <v>42</v>
      </c>
      <c r="H1032" t="s">
        <v>42</v>
      </c>
      <c r="I1032" t="s">
        <v>42</v>
      </c>
      <c r="J1032" t="s">
        <v>42</v>
      </c>
      <c r="K1032" t="s">
        <v>42</v>
      </c>
      <c r="L1032" t="s">
        <v>42</v>
      </c>
      <c r="M1032" t="s">
        <v>122</v>
      </c>
      <c r="N1032" t="s">
        <v>122</v>
      </c>
    </row>
    <row r="1033" spans="1:14" x14ac:dyDescent="0.25">
      <c r="A1033" t="s">
        <v>64</v>
      </c>
      <c r="B1033" s="5" t="s">
        <v>45</v>
      </c>
      <c r="C1033" t="s">
        <v>123</v>
      </c>
      <c r="D1033">
        <v>23.6</v>
      </c>
      <c r="E1033">
        <f t="shared" si="29"/>
        <v>23.6</v>
      </c>
      <c r="F1033" t="s">
        <v>42</v>
      </c>
      <c r="G1033" t="s">
        <v>42</v>
      </c>
      <c r="H1033" t="s">
        <v>42</v>
      </c>
      <c r="I1033" t="s">
        <v>42</v>
      </c>
      <c r="J1033" t="s">
        <v>42</v>
      </c>
      <c r="K1033" t="s">
        <v>42</v>
      </c>
      <c r="L1033" t="s">
        <v>42</v>
      </c>
      <c r="M1033" t="s">
        <v>122</v>
      </c>
      <c r="N1033" t="s">
        <v>122</v>
      </c>
    </row>
    <row r="1034" spans="1:14" x14ac:dyDescent="0.25">
      <c r="A1034" t="s">
        <v>64</v>
      </c>
      <c r="B1034" s="5" t="s">
        <v>45</v>
      </c>
      <c r="C1034" t="s">
        <v>123</v>
      </c>
      <c r="D1034">
        <v>12.3</v>
      </c>
      <c r="E1034">
        <f t="shared" si="29"/>
        <v>12.3</v>
      </c>
      <c r="F1034" t="s">
        <v>42</v>
      </c>
      <c r="G1034" t="s">
        <v>42</v>
      </c>
      <c r="H1034" t="s">
        <v>42</v>
      </c>
      <c r="I1034" t="s">
        <v>42</v>
      </c>
      <c r="J1034" t="s">
        <v>42</v>
      </c>
      <c r="K1034" t="s">
        <v>42</v>
      </c>
      <c r="L1034" t="s">
        <v>42</v>
      </c>
      <c r="M1034" t="s">
        <v>122</v>
      </c>
      <c r="N1034" t="s">
        <v>122</v>
      </c>
    </row>
    <row r="1035" spans="1:14" x14ac:dyDescent="0.25">
      <c r="A1035" t="s">
        <v>64</v>
      </c>
      <c r="B1035" s="5" t="s">
        <v>45</v>
      </c>
      <c r="C1035" t="s">
        <v>121</v>
      </c>
      <c r="D1035">
        <v>26.4</v>
      </c>
      <c r="E1035">
        <f t="shared" si="29"/>
        <v>26.4</v>
      </c>
      <c r="F1035" t="s">
        <v>42</v>
      </c>
      <c r="G1035" t="s">
        <v>42</v>
      </c>
      <c r="H1035" t="s">
        <v>42</v>
      </c>
      <c r="I1035" t="s">
        <v>42</v>
      </c>
      <c r="J1035" t="s">
        <v>42</v>
      </c>
      <c r="K1035" t="s">
        <v>42</v>
      </c>
      <c r="L1035" t="s">
        <v>42</v>
      </c>
      <c r="M1035" t="s">
        <v>122</v>
      </c>
      <c r="N1035" t="s">
        <v>122</v>
      </c>
    </row>
    <row r="1036" spans="1:14" x14ac:dyDescent="0.25">
      <c r="A1036" t="s">
        <v>64</v>
      </c>
      <c r="B1036" s="5" t="s">
        <v>45</v>
      </c>
      <c r="C1036" t="s">
        <v>123</v>
      </c>
      <c r="D1036">
        <v>9</v>
      </c>
      <c r="E1036">
        <f t="shared" si="29"/>
        <v>9</v>
      </c>
      <c r="F1036" t="s">
        <v>42</v>
      </c>
      <c r="G1036" t="s">
        <v>42</v>
      </c>
      <c r="H1036" t="s">
        <v>42</v>
      </c>
      <c r="I1036" t="s">
        <v>42</v>
      </c>
      <c r="J1036" t="s">
        <v>42</v>
      </c>
      <c r="K1036" t="s">
        <v>42</v>
      </c>
      <c r="L1036" t="s">
        <v>42</v>
      </c>
      <c r="M1036" t="s">
        <v>122</v>
      </c>
      <c r="N1036" t="s">
        <v>122</v>
      </c>
    </row>
    <row r="1037" spans="1:14" x14ac:dyDescent="0.25">
      <c r="A1037" t="s">
        <v>64</v>
      </c>
      <c r="B1037" s="5" t="s">
        <v>45</v>
      </c>
      <c r="C1037" t="s">
        <v>121</v>
      </c>
      <c r="D1037">
        <v>16.2</v>
      </c>
      <c r="E1037">
        <f t="shared" si="29"/>
        <v>16.2</v>
      </c>
      <c r="F1037" t="s">
        <v>42</v>
      </c>
      <c r="G1037" t="s">
        <v>42</v>
      </c>
      <c r="H1037" t="s">
        <v>42</v>
      </c>
      <c r="I1037" t="s">
        <v>42</v>
      </c>
      <c r="J1037" t="s">
        <v>42</v>
      </c>
      <c r="K1037" t="s">
        <v>42</v>
      </c>
      <c r="L1037" t="s">
        <v>42</v>
      </c>
      <c r="M1037" t="s">
        <v>122</v>
      </c>
      <c r="N1037" t="s">
        <v>122</v>
      </c>
    </row>
    <row r="1038" spans="1:14" x14ac:dyDescent="0.25">
      <c r="A1038" t="s">
        <v>64</v>
      </c>
      <c r="B1038" s="5" t="s">
        <v>45</v>
      </c>
      <c r="C1038" t="s">
        <v>121</v>
      </c>
      <c r="D1038">
        <v>24.5</v>
      </c>
      <c r="E1038">
        <f t="shared" si="29"/>
        <v>24.5</v>
      </c>
      <c r="F1038" t="s">
        <v>42</v>
      </c>
      <c r="G1038" t="s">
        <v>42</v>
      </c>
      <c r="H1038" t="s">
        <v>42</v>
      </c>
      <c r="I1038" t="s">
        <v>42</v>
      </c>
      <c r="J1038" t="s">
        <v>42</v>
      </c>
      <c r="K1038" t="s">
        <v>42</v>
      </c>
      <c r="L1038" t="s">
        <v>42</v>
      </c>
      <c r="M1038" t="s">
        <v>122</v>
      </c>
      <c r="N1038" t="s">
        <v>122</v>
      </c>
    </row>
    <row r="1039" spans="1:14" x14ac:dyDescent="0.25">
      <c r="A1039" t="s">
        <v>64</v>
      </c>
      <c r="B1039" s="5" t="s">
        <v>45</v>
      </c>
      <c r="C1039" t="s">
        <v>123</v>
      </c>
      <c r="D1039">
        <v>21.7</v>
      </c>
      <c r="E1039">
        <f t="shared" si="29"/>
        <v>21.7</v>
      </c>
      <c r="F1039" t="s">
        <v>42</v>
      </c>
      <c r="G1039" t="s">
        <v>42</v>
      </c>
      <c r="H1039" t="s">
        <v>42</v>
      </c>
      <c r="I1039" t="s">
        <v>42</v>
      </c>
      <c r="J1039" t="s">
        <v>42</v>
      </c>
      <c r="K1039" t="s">
        <v>42</v>
      </c>
      <c r="L1039" t="s">
        <v>42</v>
      </c>
      <c r="M1039" t="s">
        <v>122</v>
      </c>
      <c r="N1039" t="s">
        <v>122</v>
      </c>
    </row>
    <row r="1040" spans="1:14" x14ac:dyDescent="0.25">
      <c r="A1040" t="s">
        <v>64</v>
      </c>
      <c r="B1040" s="5" t="s">
        <v>45</v>
      </c>
      <c r="C1040" t="s">
        <v>121</v>
      </c>
      <c r="D1040">
        <v>38.299999999999997</v>
      </c>
      <c r="E1040">
        <f t="shared" si="29"/>
        <v>38.299999999999997</v>
      </c>
      <c r="F1040" t="s">
        <v>42</v>
      </c>
      <c r="G1040" t="s">
        <v>42</v>
      </c>
      <c r="H1040" t="s">
        <v>42</v>
      </c>
      <c r="I1040" t="s">
        <v>42</v>
      </c>
      <c r="J1040" t="s">
        <v>42</v>
      </c>
      <c r="K1040" t="s">
        <v>42</v>
      </c>
      <c r="L1040" t="s">
        <v>42</v>
      </c>
      <c r="M1040" t="s">
        <v>122</v>
      </c>
      <c r="N1040" t="s">
        <v>122</v>
      </c>
    </row>
    <row r="1041" spans="1:14" x14ac:dyDescent="0.25">
      <c r="A1041" t="s">
        <v>66</v>
      </c>
      <c r="B1041" s="11" t="s">
        <v>68</v>
      </c>
      <c r="C1041" t="s">
        <v>123</v>
      </c>
      <c r="D1041">
        <v>12.2</v>
      </c>
      <c r="E1041">
        <f t="shared" si="29"/>
        <v>12.2</v>
      </c>
      <c r="F1041" t="s">
        <v>42</v>
      </c>
      <c r="G1041" t="s">
        <v>42</v>
      </c>
      <c r="H1041" t="s">
        <v>42</v>
      </c>
      <c r="I1041" t="s">
        <v>42</v>
      </c>
      <c r="J1041" t="s">
        <v>42</v>
      </c>
      <c r="K1041" t="s">
        <v>42</v>
      </c>
      <c r="L1041" t="s">
        <v>42</v>
      </c>
      <c r="M1041" t="s">
        <v>122</v>
      </c>
      <c r="N1041" t="s">
        <v>122</v>
      </c>
    </row>
    <row r="1042" spans="1:14" x14ac:dyDescent="0.25">
      <c r="A1042" t="s">
        <v>66</v>
      </c>
      <c r="B1042" s="11" t="s">
        <v>68</v>
      </c>
      <c r="C1042" t="s">
        <v>121</v>
      </c>
      <c r="D1042">
        <v>67.7</v>
      </c>
      <c r="E1042">
        <f t="shared" si="29"/>
        <v>67.7</v>
      </c>
      <c r="F1042" t="s">
        <v>42</v>
      </c>
      <c r="G1042" t="s">
        <v>42</v>
      </c>
      <c r="H1042" t="s">
        <v>42</v>
      </c>
      <c r="I1042" t="s">
        <v>42</v>
      </c>
      <c r="J1042" t="s">
        <v>42</v>
      </c>
      <c r="K1042" t="s">
        <v>42</v>
      </c>
      <c r="L1042" t="s">
        <v>42</v>
      </c>
      <c r="M1042" t="s">
        <v>122</v>
      </c>
      <c r="N1042" t="s">
        <v>122</v>
      </c>
    </row>
    <row r="1043" spans="1:14" x14ac:dyDescent="0.25">
      <c r="A1043" t="s">
        <v>66</v>
      </c>
      <c r="B1043" s="11" t="s">
        <v>68</v>
      </c>
      <c r="C1043" t="s">
        <v>121</v>
      </c>
      <c r="D1043">
        <v>57.6</v>
      </c>
      <c r="E1043">
        <f t="shared" si="29"/>
        <v>57.6</v>
      </c>
      <c r="F1043" t="s">
        <v>42</v>
      </c>
      <c r="G1043" t="s">
        <v>42</v>
      </c>
      <c r="H1043" t="s">
        <v>42</v>
      </c>
      <c r="I1043" t="s">
        <v>42</v>
      </c>
      <c r="J1043" t="s">
        <v>42</v>
      </c>
      <c r="K1043" t="s">
        <v>42</v>
      </c>
      <c r="L1043" t="s">
        <v>42</v>
      </c>
      <c r="M1043" t="s">
        <v>122</v>
      </c>
      <c r="N1043" t="s">
        <v>122</v>
      </c>
    </row>
    <row r="1044" spans="1:14" x14ac:dyDescent="0.25">
      <c r="A1044" t="s">
        <v>66</v>
      </c>
      <c r="B1044" s="11" t="s">
        <v>68</v>
      </c>
      <c r="C1044" t="s">
        <v>121</v>
      </c>
      <c r="D1044">
        <v>48.2</v>
      </c>
      <c r="E1044">
        <f t="shared" si="29"/>
        <v>48.2</v>
      </c>
      <c r="F1044" t="s">
        <v>42</v>
      </c>
      <c r="G1044" t="s">
        <v>42</v>
      </c>
      <c r="H1044" t="s">
        <v>42</v>
      </c>
      <c r="I1044" t="s">
        <v>42</v>
      </c>
      <c r="J1044" t="s">
        <v>42</v>
      </c>
      <c r="K1044" t="s">
        <v>42</v>
      </c>
      <c r="L1044" t="s">
        <v>42</v>
      </c>
      <c r="M1044" t="s">
        <v>122</v>
      </c>
      <c r="N1044" t="s">
        <v>122</v>
      </c>
    </row>
    <row r="1045" spans="1:14" x14ac:dyDescent="0.25">
      <c r="A1045" t="s">
        <v>66</v>
      </c>
      <c r="B1045" s="11" t="s">
        <v>68</v>
      </c>
      <c r="C1045" t="s">
        <v>123</v>
      </c>
      <c r="D1045">
        <v>10.6</v>
      </c>
      <c r="E1045">
        <f t="shared" si="29"/>
        <v>10.6</v>
      </c>
      <c r="F1045" t="s">
        <v>42</v>
      </c>
      <c r="G1045" t="s">
        <v>42</v>
      </c>
      <c r="H1045" t="s">
        <v>42</v>
      </c>
      <c r="I1045" t="s">
        <v>42</v>
      </c>
      <c r="J1045" t="s">
        <v>42</v>
      </c>
      <c r="K1045" t="s">
        <v>42</v>
      </c>
      <c r="L1045" t="s">
        <v>42</v>
      </c>
      <c r="M1045" t="s">
        <v>122</v>
      </c>
      <c r="N1045" t="s">
        <v>122</v>
      </c>
    </row>
    <row r="1046" spans="1:14" x14ac:dyDescent="0.25">
      <c r="A1046" t="s">
        <v>66</v>
      </c>
      <c r="B1046" s="11" t="s">
        <v>68</v>
      </c>
      <c r="C1046" t="s">
        <v>123</v>
      </c>
      <c r="D1046">
        <v>9.6</v>
      </c>
      <c r="E1046">
        <f t="shared" si="29"/>
        <v>9.6</v>
      </c>
      <c r="F1046" t="s">
        <v>42</v>
      </c>
      <c r="G1046" t="s">
        <v>42</v>
      </c>
      <c r="H1046" t="s">
        <v>42</v>
      </c>
      <c r="I1046" t="s">
        <v>42</v>
      </c>
      <c r="J1046" t="s">
        <v>42</v>
      </c>
      <c r="K1046" t="s">
        <v>42</v>
      </c>
      <c r="L1046" t="s">
        <v>42</v>
      </c>
      <c r="M1046" t="s">
        <v>122</v>
      </c>
      <c r="N1046" t="s">
        <v>122</v>
      </c>
    </row>
    <row r="1047" spans="1:14" x14ac:dyDescent="0.25">
      <c r="A1047" t="s">
        <v>66</v>
      </c>
      <c r="B1047" s="11" t="s">
        <v>68</v>
      </c>
      <c r="C1047" t="s">
        <v>121</v>
      </c>
      <c r="D1047">
        <v>59</v>
      </c>
      <c r="E1047">
        <f t="shared" si="29"/>
        <v>59</v>
      </c>
      <c r="F1047" t="s">
        <v>42</v>
      </c>
      <c r="G1047" t="s">
        <v>42</v>
      </c>
      <c r="H1047" t="s">
        <v>42</v>
      </c>
      <c r="I1047" t="s">
        <v>42</v>
      </c>
      <c r="J1047" t="s">
        <v>42</v>
      </c>
      <c r="K1047" t="s">
        <v>42</v>
      </c>
      <c r="L1047" t="s">
        <v>42</v>
      </c>
      <c r="M1047" t="s">
        <v>122</v>
      </c>
      <c r="N1047" t="s">
        <v>122</v>
      </c>
    </row>
    <row r="1048" spans="1:14" x14ac:dyDescent="0.25">
      <c r="A1048" t="s">
        <v>66</v>
      </c>
      <c r="B1048" s="11" t="s">
        <v>68</v>
      </c>
      <c r="C1048" t="s">
        <v>121</v>
      </c>
      <c r="D1048">
        <v>86</v>
      </c>
      <c r="E1048">
        <f t="shared" si="29"/>
        <v>86</v>
      </c>
      <c r="F1048" t="s">
        <v>42</v>
      </c>
      <c r="G1048" t="s">
        <v>42</v>
      </c>
      <c r="H1048" t="s">
        <v>42</v>
      </c>
      <c r="I1048" t="s">
        <v>42</v>
      </c>
      <c r="J1048" t="s">
        <v>42</v>
      </c>
      <c r="K1048" t="s">
        <v>42</v>
      </c>
      <c r="L1048" t="s">
        <v>42</v>
      </c>
      <c r="M1048" t="s">
        <v>122</v>
      </c>
      <c r="N1048" t="s">
        <v>122</v>
      </c>
    </row>
    <row r="1049" spans="1:14" x14ac:dyDescent="0.25">
      <c r="A1049" t="s">
        <v>66</v>
      </c>
      <c r="B1049" s="11" t="s">
        <v>130</v>
      </c>
      <c r="C1049" t="s">
        <v>121</v>
      </c>
      <c r="D1049">
        <v>21.2</v>
      </c>
      <c r="E1049">
        <f t="shared" si="29"/>
        <v>21.2</v>
      </c>
      <c r="F1049" t="s">
        <v>42</v>
      </c>
      <c r="G1049" t="s">
        <v>42</v>
      </c>
      <c r="H1049" t="s">
        <v>42</v>
      </c>
      <c r="I1049" t="s">
        <v>42</v>
      </c>
      <c r="J1049" t="s">
        <v>42</v>
      </c>
      <c r="K1049" t="s">
        <v>42</v>
      </c>
      <c r="L1049" t="s">
        <v>42</v>
      </c>
      <c r="M1049" t="s">
        <v>122</v>
      </c>
      <c r="N1049" t="s">
        <v>122</v>
      </c>
    </row>
    <row r="1050" spans="1:14" x14ac:dyDescent="0.25">
      <c r="A1050" t="s">
        <v>66</v>
      </c>
      <c r="B1050" s="11" t="s">
        <v>130</v>
      </c>
      <c r="C1050" t="s">
        <v>123</v>
      </c>
      <c r="D1050">
        <v>9.5</v>
      </c>
      <c r="E1050">
        <f t="shared" si="29"/>
        <v>9.5</v>
      </c>
      <c r="F1050" t="s">
        <v>42</v>
      </c>
      <c r="G1050" t="s">
        <v>42</v>
      </c>
      <c r="H1050" t="s">
        <v>42</v>
      </c>
      <c r="I1050" t="s">
        <v>42</v>
      </c>
      <c r="J1050" t="s">
        <v>42</v>
      </c>
      <c r="K1050" t="s">
        <v>42</v>
      </c>
      <c r="L1050" t="s">
        <v>42</v>
      </c>
      <c r="M1050" t="s">
        <v>122</v>
      </c>
      <c r="N1050" t="s">
        <v>122</v>
      </c>
    </row>
    <row r="1051" spans="1:14" x14ac:dyDescent="0.25">
      <c r="A1051" t="s">
        <v>66</v>
      </c>
      <c r="B1051" s="11" t="s">
        <v>130</v>
      </c>
      <c r="C1051" t="s">
        <v>121</v>
      </c>
      <c r="D1051">
        <v>26</v>
      </c>
      <c r="E1051">
        <f t="shared" si="29"/>
        <v>26</v>
      </c>
      <c r="F1051" t="s">
        <v>42</v>
      </c>
      <c r="G1051" t="s">
        <v>42</v>
      </c>
      <c r="H1051" t="s">
        <v>42</v>
      </c>
      <c r="I1051" t="s">
        <v>42</v>
      </c>
      <c r="J1051" t="s">
        <v>42</v>
      </c>
      <c r="K1051" t="s">
        <v>42</v>
      </c>
      <c r="L1051" t="s">
        <v>42</v>
      </c>
      <c r="M1051" t="s">
        <v>122</v>
      </c>
      <c r="N1051" t="s">
        <v>122</v>
      </c>
    </row>
    <row r="1052" spans="1:14" x14ac:dyDescent="0.25">
      <c r="A1052" t="s">
        <v>66</v>
      </c>
      <c r="B1052" s="11" t="s">
        <v>130</v>
      </c>
      <c r="C1052" t="s">
        <v>123</v>
      </c>
      <c r="D1052">
        <v>22.2</v>
      </c>
      <c r="E1052">
        <f t="shared" si="29"/>
        <v>22.2</v>
      </c>
      <c r="F1052" t="s">
        <v>42</v>
      </c>
      <c r="G1052" t="s">
        <v>42</v>
      </c>
      <c r="H1052" t="s">
        <v>42</v>
      </c>
      <c r="I1052" t="s">
        <v>42</v>
      </c>
      <c r="J1052" t="s">
        <v>42</v>
      </c>
      <c r="K1052" t="s">
        <v>42</v>
      </c>
      <c r="L1052" t="s">
        <v>42</v>
      </c>
      <c r="M1052" t="s">
        <v>122</v>
      </c>
      <c r="N1052" t="s">
        <v>122</v>
      </c>
    </row>
    <row r="1053" spans="1:14" x14ac:dyDescent="0.25">
      <c r="A1053" t="s">
        <v>66</v>
      </c>
      <c r="B1053" s="11" t="s">
        <v>130</v>
      </c>
      <c r="C1053" t="s">
        <v>121</v>
      </c>
      <c r="D1053">
        <v>22.5</v>
      </c>
      <c r="E1053">
        <f t="shared" si="29"/>
        <v>22.5</v>
      </c>
      <c r="F1053" t="s">
        <v>42</v>
      </c>
      <c r="G1053" t="s">
        <v>42</v>
      </c>
      <c r="H1053" t="s">
        <v>42</v>
      </c>
      <c r="I1053" t="s">
        <v>42</v>
      </c>
      <c r="J1053" t="s">
        <v>42</v>
      </c>
      <c r="K1053" t="s">
        <v>42</v>
      </c>
      <c r="L1053" t="s">
        <v>42</v>
      </c>
      <c r="M1053" t="s">
        <v>122</v>
      </c>
      <c r="N1053" t="s">
        <v>122</v>
      </c>
    </row>
    <row r="1054" spans="1:14" x14ac:dyDescent="0.25">
      <c r="A1054" t="s">
        <v>66</v>
      </c>
      <c r="B1054" s="11" t="s">
        <v>68</v>
      </c>
      <c r="C1054" t="s">
        <v>121</v>
      </c>
      <c r="D1054">
        <v>32.200000000000003</v>
      </c>
      <c r="E1054">
        <f t="shared" si="29"/>
        <v>32.200000000000003</v>
      </c>
      <c r="F1054" t="s">
        <v>42</v>
      </c>
      <c r="G1054" t="s">
        <v>42</v>
      </c>
      <c r="H1054" t="s">
        <v>42</v>
      </c>
      <c r="I1054" t="s">
        <v>42</v>
      </c>
      <c r="J1054" t="s">
        <v>42</v>
      </c>
      <c r="K1054" t="s">
        <v>42</v>
      </c>
      <c r="L1054" t="s">
        <v>42</v>
      </c>
      <c r="M1054" t="s">
        <v>122</v>
      </c>
      <c r="N1054" t="s">
        <v>122</v>
      </c>
    </row>
    <row r="1055" spans="1:14" x14ac:dyDescent="0.25">
      <c r="A1055" t="s">
        <v>66</v>
      </c>
      <c r="B1055" s="11" t="s">
        <v>130</v>
      </c>
      <c r="C1055" t="s">
        <v>121</v>
      </c>
      <c r="D1055">
        <v>33.5</v>
      </c>
      <c r="E1055">
        <f t="shared" si="29"/>
        <v>33.5</v>
      </c>
      <c r="F1055" t="s">
        <v>42</v>
      </c>
      <c r="G1055" t="s">
        <v>42</v>
      </c>
      <c r="H1055" t="s">
        <v>42</v>
      </c>
      <c r="I1055" t="s">
        <v>42</v>
      </c>
      <c r="J1055" t="s">
        <v>42</v>
      </c>
      <c r="K1055" t="s">
        <v>42</v>
      </c>
      <c r="L1055" t="s">
        <v>42</v>
      </c>
      <c r="M1055" t="s">
        <v>122</v>
      </c>
      <c r="N1055" t="s">
        <v>122</v>
      </c>
    </row>
    <row r="1056" spans="1:14" x14ac:dyDescent="0.25">
      <c r="A1056" t="s">
        <v>66</v>
      </c>
      <c r="B1056" s="11" t="s">
        <v>130</v>
      </c>
      <c r="C1056" t="s">
        <v>121</v>
      </c>
      <c r="D1056">
        <v>30.3</v>
      </c>
      <c r="E1056">
        <f t="shared" si="29"/>
        <v>30.3</v>
      </c>
      <c r="F1056" t="s">
        <v>42</v>
      </c>
      <c r="G1056" t="s">
        <v>42</v>
      </c>
      <c r="H1056" t="s">
        <v>42</v>
      </c>
      <c r="I1056" t="s">
        <v>42</v>
      </c>
      <c r="J1056" t="s">
        <v>42</v>
      </c>
      <c r="K1056" t="s">
        <v>42</v>
      </c>
      <c r="L1056" t="s">
        <v>42</v>
      </c>
      <c r="M1056" t="s">
        <v>122</v>
      </c>
      <c r="N1056" t="s">
        <v>122</v>
      </c>
    </row>
    <row r="1057" spans="1:14" x14ac:dyDescent="0.25">
      <c r="A1057" t="s">
        <v>66</v>
      </c>
      <c r="B1057" s="11" t="s">
        <v>130</v>
      </c>
      <c r="C1057" t="s">
        <v>121</v>
      </c>
      <c r="D1057">
        <v>15.8</v>
      </c>
      <c r="E1057">
        <f t="shared" si="29"/>
        <v>15.8</v>
      </c>
      <c r="F1057" t="s">
        <v>42</v>
      </c>
      <c r="G1057" t="s">
        <v>42</v>
      </c>
      <c r="H1057" t="s">
        <v>42</v>
      </c>
      <c r="I1057" t="s">
        <v>42</v>
      </c>
      <c r="J1057" t="s">
        <v>42</v>
      </c>
      <c r="K1057" t="s">
        <v>42</v>
      </c>
      <c r="L1057" t="s">
        <v>42</v>
      </c>
      <c r="M1057" t="s">
        <v>122</v>
      </c>
      <c r="N1057" t="s">
        <v>122</v>
      </c>
    </row>
    <row r="1058" spans="1:14" x14ac:dyDescent="0.25">
      <c r="A1058" t="s">
        <v>66</v>
      </c>
      <c r="B1058" s="11" t="s">
        <v>131</v>
      </c>
      <c r="C1058" t="s">
        <v>121</v>
      </c>
      <c r="D1058">
        <v>23.3</v>
      </c>
      <c r="E1058">
        <f t="shared" si="29"/>
        <v>23.3</v>
      </c>
      <c r="F1058" t="s">
        <v>42</v>
      </c>
      <c r="G1058" t="s">
        <v>42</v>
      </c>
      <c r="H1058" t="s">
        <v>42</v>
      </c>
      <c r="I1058" t="s">
        <v>42</v>
      </c>
      <c r="J1058" t="s">
        <v>42</v>
      </c>
      <c r="K1058" t="s">
        <v>42</v>
      </c>
      <c r="L1058" t="s">
        <v>42</v>
      </c>
      <c r="M1058" t="s">
        <v>122</v>
      </c>
      <c r="N1058" t="s">
        <v>122</v>
      </c>
    </row>
    <row r="1059" spans="1:14" x14ac:dyDescent="0.25">
      <c r="A1059" t="s">
        <v>66</v>
      </c>
      <c r="B1059" s="11" t="s">
        <v>131</v>
      </c>
      <c r="C1059" t="s">
        <v>121</v>
      </c>
      <c r="D1059">
        <v>17.600000000000001</v>
      </c>
      <c r="E1059">
        <f t="shared" si="29"/>
        <v>17.600000000000001</v>
      </c>
      <c r="F1059" t="s">
        <v>42</v>
      </c>
      <c r="G1059" t="s">
        <v>42</v>
      </c>
      <c r="H1059" t="s">
        <v>42</v>
      </c>
      <c r="I1059" t="s">
        <v>42</v>
      </c>
      <c r="J1059" t="s">
        <v>42</v>
      </c>
      <c r="K1059" t="s">
        <v>42</v>
      </c>
      <c r="L1059" t="s">
        <v>42</v>
      </c>
      <c r="M1059" t="s">
        <v>122</v>
      </c>
      <c r="N1059" t="s">
        <v>122</v>
      </c>
    </row>
    <row r="1060" spans="1:14" x14ac:dyDescent="0.25">
      <c r="A1060" t="s">
        <v>66</v>
      </c>
      <c r="B1060" s="11" t="s">
        <v>131</v>
      </c>
      <c r="C1060" t="s">
        <v>121</v>
      </c>
      <c r="D1060">
        <v>9.1999999999999993</v>
      </c>
      <c r="E1060">
        <f t="shared" si="29"/>
        <v>9.1999999999999993</v>
      </c>
      <c r="F1060" t="s">
        <v>42</v>
      </c>
      <c r="G1060" t="s">
        <v>42</v>
      </c>
      <c r="H1060" t="s">
        <v>42</v>
      </c>
      <c r="I1060" t="s">
        <v>42</v>
      </c>
      <c r="J1060" t="s">
        <v>42</v>
      </c>
      <c r="K1060" t="s">
        <v>42</v>
      </c>
      <c r="L1060" t="s">
        <v>42</v>
      </c>
      <c r="M1060" t="s">
        <v>122</v>
      </c>
      <c r="N1060" t="s">
        <v>122</v>
      </c>
    </row>
    <row r="1061" spans="1:14" x14ac:dyDescent="0.25">
      <c r="A1061" t="s">
        <v>66</v>
      </c>
      <c r="B1061" s="11" t="s">
        <v>130</v>
      </c>
      <c r="C1061" t="s">
        <v>123</v>
      </c>
      <c r="D1061">
        <v>9.6</v>
      </c>
      <c r="E1061">
        <f t="shared" si="29"/>
        <v>9.6</v>
      </c>
      <c r="F1061" t="s">
        <v>42</v>
      </c>
      <c r="G1061" t="s">
        <v>42</v>
      </c>
      <c r="H1061" t="s">
        <v>42</v>
      </c>
      <c r="I1061" t="s">
        <v>42</v>
      </c>
      <c r="J1061" t="s">
        <v>42</v>
      </c>
      <c r="K1061" t="s">
        <v>42</v>
      </c>
      <c r="L1061" t="s">
        <v>42</v>
      </c>
      <c r="M1061" t="s">
        <v>122</v>
      </c>
      <c r="N1061" t="s">
        <v>122</v>
      </c>
    </row>
    <row r="1062" spans="1:14" x14ac:dyDescent="0.25">
      <c r="A1062" t="s">
        <v>66</v>
      </c>
      <c r="B1062" s="11" t="s">
        <v>131</v>
      </c>
      <c r="C1062" t="s">
        <v>121</v>
      </c>
      <c r="D1062">
        <v>14.9</v>
      </c>
      <c r="E1062">
        <f t="shared" si="29"/>
        <v>14.9</v>
      </c>
      <c r="F1062" t="s">
        <v>42</v>
      </c>
      <c r="G1062" t="s">
        <v>42</v>
      </c>
      <c r="H1062" t="s">
        <v>42</v>
      </c>
      <c r="I1062" t="s">
        <v>42</v>
      </c>
      <c r="J1062" t="s">
        <v>42</v>
      </c>
      <c r="K1062" t="s">
        <v>42</v>
      </c>
      <c r="L1062" t="s">
        <v>42</v>
      </c>
      <c r="M1062" t="s">
        <v>122</v>
      </c>
      <c r="N1062" t="s">
        <v>122</v>
      </c>
    </row>
    <row r="1063" spans="1:14" x14ac:dyDescent="0.25">
      <c r="A1063" t="s">
        <v>69</v>
      </c>
      <c r="B1063" s="11" t="s">
        <v>68</v>
      </c>
      <c r="C1063" t="s">
        <v>121</v>
      </c>
      <c r="D1063">
        <v>27.4</v>
      </c>
      <c r="E1063">
        <f t="shared" si="29"/>
        <v>27.4</v>
      </c>
      <c r="F1063" t="s">
        <v>42</v>
      </c>
      <c r="G1063" t="s">
        <v>42</v>
      </c>
      <c r="H1063" t="s">
        <v>42</v>
      </c>
      <c r="I1063" t="s">
        <v>42</v>
      </c>
      <c r="J1063" t="s">
        <v>42</v>
      </c>
      <c r="K1063" t="s">
        <v>42</v>
      </c>
      <c r="L1063" t="s">
        <v>42</v>
      </c>
      <c r="M1063" t="s">
        <v>122</v>
      </c>
      <c r="N1063">
        <v>2.2000000000000002</v>
      </c>
    </row>
    <row r="1064" spans="1:14" x14ac:dyDescent="0.25">
      <c r="A1064" t="s">
        <v>69</v>
      </c>
      <c r="B1064" s="11" t="s">
        <v>68</v>
      </c>
      <c r="C1064" t="s">
        <v>121</v>
      </c>
      <c r="D1064">
        <v>32.1</v>
      </c>
      <c r="E1064">
        <f t="shared" si="29"/>
        <v>32.1</v>
      </c>
      <c r="F1064" t="s">
        <v>42</v>
      </c>
      <c r="G1064" t="s">
        <v>42</v>
      </c>
      <c r="H1064" t="s">
        <v>42</v>
      </c>
      <c r="I1064" t="s">
        <v>42</v>
      </c>
      <c r="J1064" t="s">
        <v>42</v>
      </c>
      <c r="K1064" t="s">
        <v>42</v>
      </c>
      <c r="L1064" t="s">
        <v>42</v>
      </c>
      <c r="M1064" t="s">
        <v>122</v>
      </c>
      <c r="N1064">
        <v>7.69</v>
      </c>
    </row>
    <row r="1065" spans="1:14" x14ac:dyDescent="0.25">
      <c r="A1065" t="s">
        <v>69</v>
      </c>
      <c r="B1065" s="11" t="s">
        <v>68</v>
      </c>
      <c r="C1065" t="s">
        <v>121</v>
      </c>
      <c r="D1065">
        <v>32.6</v>
      </c>
      <c r="E1065">
        <f t="shared" si="29"/>
        <v>32.6</v>
      </c>
      <c r="F1065" t="s">
        <v>42</v>
      </c>
      <c r="G1065" t="s">
        <v>42</v>
      </c>
      <c r="H1065" t="s">
        <v>42</v>
      </c>
      <c r="I1065" t="s">
        <v>42</v>
      </c>
      <c r="J1065" t="s">
        <v>42</v>
      </c>
      <c r="K1065" t="s">
        <v>42</v>
      </c>
      <c r="L1065" t="s">
        <v>42</v>
      </c>
      <c r="M1065" t="s">
        <v>122</v>
      </c>
      <c r="N1065">
        <v>8.82</v>
      </c>
    </row>
    <row r="1066" spans="1:14" x14ac:dyDescent="0.25">
      <c r="A1066" t="s">
        <v>69</v>
      </c>
      <c r="B1066" s="11" t="s">
        <v>68</v>
      </c>
      <c r="C1066" t="s">
        <v>121</v>
      </c>
      <c r="D1066">
        <v>17.600000000000001</v>
      </c>
      <c r="E1066">
        <f t="shared" si="29"/>
        <v>17.600000000000001</v>
      </c>
      <c r="F1066" t="s">
        <v>42</v>
      </c>
      <c r="G1066" t="s">
        <v>42</v>
      </c>
      <c r="H1066" t="s">
        <v>42</v>
      </c>
      <c r="I1066" t="s">
        <v>42</v>
      </c>
      <c r="J1066" t="s">
        <v>42</v>
      </c>
      <c r="K1066" t="s">
        <v>42</v>
      </c>
      <c r="L1066" t="s">
        <v>42</v>
      </c>
      <c r="M1066" t="s">
        <v>122</v>
      </c>
      <c r="N1066">
        <v>14.31</v>
      </c>
    </row>
    <row r="1067" spans="1:14" x14ac:dyDescent="0.25">
      <c r="A1067" t="s">
        <v>69</v>
      </c>
      <c r="B1067" s="11" t="s">
        <v>68</v>
      </c>
      <c r="C1067" t="s">
        <v>121</v>
      </c>
      <c r="D1067">
        <v>16.399999999999999</v>
      </c>
      <c r="E1067">
        <f t="shared" si="29"/>
        <v>16.399999999999999</v>
      </c>
      <c r="F1067" t="s">
        <v>42</v>
      </c>
      <c r="G1067" t="s">
        <v>42</v>
      </c>
      <c r="H1067" t="s">
        <v>42</v>
      </c>
      <c r="I1067" t="s">
        <v>42</v>
      </c>
      <c r="J1067" t="s">
        <v>42</v>
      </c>
      <c r="K1067" t="s">
        <v>42</v>
      </c>
      <c r="L1067" t="s">
        <v>42</v>
      </c>
      <c r="M1067" t="s">
        <v>122</v>
      </c>
      <c r="N1067">
        <v>11.18</v>
      </c>
    </row>
    <row r="1068" spans="1:14" x14ac:dyDescent="0.25">
      <c r="A1068" t="s">
        <v>69</v>
      </c>
      <c r="B1068" s="11" t="s">
        <v>68</v>
      </c>
      <c r="C1068" t="s">
        <v>121</v>
      </c>
      <c r="D1068">
        <v>38.4</v>
      </c>
      <c r="E1068">
        <f t="shared" si="29"/>
        <v>38.4</v>
      </c>
      <c r="F1068" t="s">
        <v>42</v>
      </c>
      <c r="G1068" t="s">
        <v>42</v>
      </c>
      <c r="H1068" t="s">
        <v>42</v>
      </c>
      <c r="I1068" t="s">
        <v>42</v>
      </c>
      <c r="J1068" t="s">
        <v>42</v>
      </c>
      <c r="K1068" t="s">
        <v>42</v>
      </c>
      <c r="L1068" t="s">
        <v>42</v>
      </c>
      <c r="M1068" t="s">
        <v>122</v>
      </c>
      <c r="N1068">
        <v>10.1</v>
      </c>
    </row>
    <row r="1069" spans="1:14" x14ac:dyDescent="0.25">
      <c r="A1069" t="s">
        <v>69</v>
      </c>
      <c r="B1069" s="11" t="s">
        <v>68</v>
      </c>
      <c r="C1069" t="s">
        <v>121</v>
      </c>
      <c r="D1069">
        <v>34.799999999999997</v>
      </c>
      <c r="E1069">
        <f t="shared" si="29"/>
        <v>34.799999999999997</v>
      </c>
      <c r="F1069" t="s">
        <v>42</v>
      </c>
      <c r="G1069" t="s">
        <v>42</v>
      </c>
      <c r="H1069" t="s">
        <v>42</v>
      </c>
      <c r="I1069" t="s">
        <v>42</v>
      </c>
      <c r="J1069" t="s">
        <v>42</v>
      </c>
      <c r="K1069" t="s">
        <v>42</v>
      </c>
      <c r="L1069" t="s">
        <v>42</v>
      </c>
      <c r="M1069" t="s">
        <v>122</v>
      </c>
      <c r="N1069">
        <v>4.33</v>
      </c>
    </row>
    <row r="1070" spans="1:14" x14ac:dyDescent="0.25">
      <c r="A1070" t="s">
        <v>69</v>
      </c>
      <c r="B1070" s="11" t="s">
        <v>68</v>
      </c>
      <c r="C1070" t="s">
        <v>121</v>
      </c>
      <c r="D1070">
        <v>33</v>
      </c>
      <c r="E1070">
        <f t="shared" si="29"/>
        <v>33</v>
      </c>
      <c r="F1070" t="s">
        <v>42</v>
      </c>
      <c r="G1070" t="s">
        <v>42</v>
      </c>
      <c r="H1070" t="s">
        <v>42</v>
      </c>
      <c r="I1070" t="s">
        <v>42</v>
      </c>
      <c r="J1070" t="s">
        <v>42</v>
      </c>
      <c r="K1070" t="s">
        <v>42</v>
      </c>
      <c r="L1070" t="s">
        <v>42</v>
      </c>
      <c r="M1070" t="s">
        <v>122</v>
      </c>
      <c r="N1070">
        <v>7.77</v>
      </c>
    </row>
    <row r="1071" spans="1:14" x14ac:dyDescent="0.25">
      <c r="A1071" t="s">
        <v>69</v>
      </c>
      <c r="B1071" s="11" t="s">
        <v>68</v>
      </c>
      <c r="C1071" t="s">
        <v>121</v>
      </c>
      <c r="D1071">
        <f>28.5+16.6</f>
        <v>45.1</v>
      </c>
      <c r="E1071">
        <v>28.5</v>
      </c>
      <c r="F1071">
        <v>16.600000000000001</v>
      </c>
      <c r="G1071" t="s">
        <v>42</v>
      </c>
      <c r="H1071" t="s">
        <v>42</v>
      </c>
      <c r="I1071" t="s">
        <v>42</v>
      </c>
      <c r="J1071" t="s">
        <v>42</v>
      </c>
      <c r="K1071" t="s">
        <v>42</v>
      </c>
      <c r="L1071" t="s">
        <v>42</v>
      </c>
      <c r="M1071" t="s">
        <v>124</v>
      </c>
      <c r="N1071">
        <v>12.08</v>
      </c>
    </row>
    <row r="1072" spans="1:14" x14ac:dyDescent="0.25">
      <c r="A1072" t="s">
        <v>69</v>
      </c>
      <c r="B1072" s="11" t="s">
        <v>68</v>
      </c>
      <c r="C1072" t="s">
        <v>121</v>
      </c>
      <c r="D1072">
        <v>39</v>
      </c>
      <c r="E1072">
        <f>D1072</f>
        <v>39</v>
      </c>
      <c r="F1072" t="s">
        <v>42</v>
      </c>
      <c r="G1072" t="s">
        <v>42</v>
      </c>
      <c r="H1072" t="s">
        <v>42</v>
      </c>
      <c r="I1072" t="s">
        <v>42</v>
      </c>
      <c r="J1072" t="s">
        <v>42</v>
      </c>
      <c r="K1072" t="s">
        <v>42</v>
      </c>
      <c r="L1072" t="s">
        <v>42</v>
      </c>
      <c r="M1072" t="s">
        <v>122</v>
      </c>
      <c r="N1072">
        <v>12.67</v>
      </c>
    </row>
    <row r="1073" spans="1:14" x14ac:dyDescent="0.25">
      <c r="A1073" t="s">
        <v>69</v>
      </c>
      <c r="B1073" s="11" t="s">
        <v>68</v>
      </c>
      <c r="C1073" t="s">
        <v>121</v>
      </c>
      <c r="D1073">
        <f>34+8.2</f>
        <v>42.2</v>
      </c>
      <c r="E1073">
        <v>34</v>
      </c>
      <c r="F1073">
        <v>8.1999999999999993</v>
      </c>
      <c r="G1073" t="s">
        <v>42</v>
      </c>
      <c r="H1073" t="s">
        <v>42</v>
      </c>
      <c r="I1073" t="s">
        <v>42</v>
      </c>
      <c r="J1073" t="s">
        <v>42</v>
      </c>
      <c r="K1073" t="s">
        <v>42</v>
      </c>
      <c r="L1073" t="s">
        <v>42</v>
      </c>
      <c r="M1073" t="s">
        <v>124</v>
      </c>
      <c r="N1073">
        <v>13.74</v>
      </c>
    </row>
    <row r="1074" spans="1:14" x14ac:dyDescent="0.25">
      <c r="A1074" t="s">
        <v>69</v>
      </c>
      <c r="B1074" s="11" t="s">
        <v>68</v>
      </c>
      <c r="C1074" t="s">
        <v>121</v>
      </c>
      <c r="D1074">
        <f>25.3+22.2</f>
        <v>47.5</v>
      </c>
      <c r="E1074">
        <v>25.3</v>
      </c>
      <c r="F1074">
        <v>22.2</v>
      </c>
      <c r="G1074" t="s">
        <v>42</v>
      </c>
      <c r="H1074" t="s">
        <v>42</v>
      </c>
      <c r="I1074" t="s">
        <v>42</v>
      </c>
      <c r="J1074" t="s">
        <v>42</v>
      </c>
      <c r="K1074" t="s">
        <v>42</v>
      </c>
      <c r="L1074" t="s">
        <v>42</v>
      </c>
      <c r="M1074" t="s">
        <v>124</v>
      </c>
      <c r="N1074">
        <v>14.07</v>
      </c>
    </row>
    <row r="1075" spans="1:14" x14ac:dyDescent="0.25">
      <c r="A1075" t="s">
        <v>69</v>
      </c>
      <c r="B1075" s="11" t="s">
        <v>68</v>
      </c>
      <c r="C1075" t="s">
        <v>121</v>
      </c>
      <c r="D1075">
        <f>39.8+24.7</f>
        <v>64.5</v>
      </c>
      <c r="E1075">
        <v>39.799999999999997</v>
      </c>
      <c r="F1075">
        <v>24.7</v>
      </c>
      <c r="G1075" t="s">
        <v>42</v>
      </c>
      <c r="H1075" t="s">
        <v>42</v>
      </c>
      <c r="I1075" t="s">
        <v>42</v>
      </c>
      <c r="J1075" t="s">
        <v>42</v>
      </c>
      <c r="K1075" t="s">
        <v>42</v>
      </c>
      <c r="L1075" t="s">
        <v>42</v>
      </c>
      <c r="M1075" t="s">
        <v>124</v>
      </c>
      <c r="N1075">
        <v>14.75</v>
      </c>
    </row>
    <row r="1076" spans="1:14" x14ac:dyDescent="0.25">
      <c r="A1076" t="s">
        <v>69</v>
      </c>
      <c r="B1076" s="11" t="s">
        <v>68</v>
      </c>
      <c r="C1076" t="s">
        <v>121</v>
      </c>
      <c r="D1076">
        <f>26.1+8.7</f>
        <v>34.799999999999997</v>
      </c>
      <c r="E1076">
        <v>26.1</v>
      </c>
      <c r="F1076">
        <v>8.6999999999999993</v>
      </c>
      <c r="G1076" t="s">
        <v>42</v>
      </c>
      <c r="H1076" t="s">
        <v>42</v>
      </c>
      <c r="I1076" t="s">
        <v>42</v>
      </c>
      <c r="J1076" t="s">
        <v>42</v>
      </c>
      <c r="K1076" t="s">
        <v>42</v>
      </c>
      <c r="L1076" t="s">
        <v>42</v>
      </c>
      <c r="M1076" t="s">
        <v>124</v>
      </c>
      <c r="N1076">
        <v>12.6</v>
      </c>
    </row>
    <row r="1077" spans="1:14" x14ac:dyDescent="0.25">
      <c r="A1077" t="s">
        <v>69</v>
      </c>
      <c r="B1077" s="11" t="s">
        <v>68</v>
      </c>
      <c r="C1077" t="s">
        <v>121</v>
      </c>
      <c r="D1077">
        <v>36</v>
      </c>
      <c r="E1077">
        <f t="shared" ref="E1077:E1080" si="30">D1077</f>
        <v>36</v>
      </c>
      <c r="F1077" t="s">
        <v>42</v>
      </c>
      <c r="G1077" t="s">
        <v>42</v>
      </c>
      <c r="H1077" t="s">
        <v>42</v>
      </c>
      <c r="I1077" t="s">
        <v>42</v>
      </c>
      <c r="J1077" t="s">
        <v>42</v>
      </c>
      <c r="K1077" t="s">
        <v>42</v>
      </c>
      <c r="L1077" t="s">
        <v>42</v>
      </c>
      <c r="M1077" t="s">
        <v>122</v>
      </c>
      <c r="N1077">
        <v>12.31</v>
      </c>
    </row>
    <row r="1078" spans="1:14" x14ac:dyDescent="0.25">
      <c r="A1078" t="s">
        <v>69</v>
      </c>
      <c r="B1078" s="11" t="s">
        <v>68</v>
      </c>
      <c r="C1078" t="s">
        <v>121</v>
      </c>
      <c r="D1078">
        <v>42.8</v>
      </c>
      <c r="E1078">
        <f t="shared" si="30"/>
        <v>42.8</v>
      </c>
      <c r="F1078" t="s">
        <v>42</v>
      </c>
      <c r="G1078" t="s">
        <v>42</v>
      </c>
      <c r="H1078" t="s">
        <v>42</v>
      </c>
      <c r="I1078" t="s">
        <v>42</v>
      </c>
      <c r="J1078" t="s">
        <v>42</v>
      </c>
      <c r="K1078" t="s">
        <v>42</v>
      </c>
      <c r="L1078" t="s">
        <v>42</v>
      </c>
      <c r="M1078" t="s">
        <v>122</v>
      </c>
      <c r="N1078">
        <v>14.4</v>
      </c>
    </row>
    <row r="1079" spans="1:14" x14ac:dyDescent="0.25">
      <c r="A1079" t="s">
        <v>69</v>
      </c>
      <c r="B1079" s="11" t="s">
        <v>68</v>
      </c>
      <c r="C1079" t="s">
        <v>121</v>
      </c>
      <c r="D1079">
        <v>29.6</v>
      </c>
      <c r="E1079">
        <f t="shared" si="30"/>
        <v>29.6</v>
      </c>
      <c r="F1079" t="s">
        <v>42</v>
      </c>
      <c r="G1079" t="s">
        <v>42</v>
      </c>
      <c r="H1079" t="s">
        <v>42</v>
      </c>
      <c r="I1079" t="s">
        <v>42</v>
      </c>
      <c r="J1079" t="s">
        <v>42</v>
      </c>
      <c r="K1079" t="s">
        <v>42</v>
      </c>
      <c r="L1079" t="s">
        <v>42</v>
      </c>
      <c r="M1079" t="s">
        <v>122</v>
      </c>
      <c r="N1079">
        <v>6.61</v>
      </c>
    </row>
    <row r="1080" spans="1:14" x14ac:dyDescent="0.25">
      <c r="A1080" t="s">
        <v>69</v>
      </c>
      <c r="B1080" s="11" t="s">
        <v>68</v>
      </c>
      <c r="C1080" t="s">
        <v>121</v>
      </c>
      <c r="D1080">
        <v>36.700000000000003</v>
      </c>
      <c r="E1080">
        <f t="shared" si="30"/>
        <v>36.700000000000003</v>
      </c>
      <c r="F1080" t="s">
        <v>42</v>
      </c>
      <c r="G1080" t="s">
        <v>42</v>
      </c>
      <c r="H1080" t="s">
        <v>42</v>
      </c>
      <c r="I1080" t="s">
        <v>42</v>
      </c>
      <c r="J1080" t="s">
        <v>42</v>
      </c>
      <c r="K1080" t="s">
        <v>42</v>
      </c>
      <c r="L1080" t="s">
        <v>42</v>
      </c>
      <c r="M1080" t="s">
        <v>122</v>
      </c>
      <c r="N1080">
        <v>10.33</v>
      </c>
    </row>
    <row r="1081" spans="1:14" x14ac:dyDescent="0.25">
      <c r="A1081" t="s">
        <v>69</v>
      </c>
      <c r="B1081" s="11" t="s">
        <v>68</v>
      </c>
      <c r="C1081" t="s">
        <v>121</v>
      </c>
      <c r="D1081">
        <f>47.5+10.8</f>
        <v>58.3</v>
      </c>
      <c r="E1081">
        <v>47.5</v>
      </c>
      <c r="F1081">
        <v>10.8</v>
      </c>
      <c r="G1081" t="s">
        <v>42</v>
      </c>
      <c r="H1081" t="s">
        <v>42</v>
      </c>
      <c r="I1081" t="s">
        <v>42</v>
      </c>
      <c r="J1081" t="s">
        <v>42</v>
      </c>
      <c r="K1081" t="s">
        <v>42</v>
      </c>
      <c r="L1081" t="s">
        <v>42</v>
      </c>
      <c r="M1081" t="s">
        <v>124</v>
      </c>
      <c r="N1081">
        <v>13.15</v>
      </c>
    </row>
    <row r="1082" spans="1:14" x14ac:dyDescent="0.25">
      <c r="A1082" t="s">
        <v>69</v>
      </c>
      <c r="B1082" s="11" t="s">
        <v>68</v>
      </c>
      <c r="C1082" t="s">
        <v>121</v>
      </c>
      <c r="D1082">
        <v>44.8</v>
      </c>
      <c r="E1082">
        <f>D1082</f>
        <v>44.8</v>
      </c>
      <c r="F1082" t="s">
        <v>42</v>
      </c>
      <c r="G1082" t="s">
        <v>42</v>
      </c>
      <c r="H1082" t="s">
        <v>42</v>
      </c>
      <c r="I1082" t="s">
        <v>42</v>
      </c>
      <c r="J1082" t="s">
        <v>42</v>
      </c>
      <c r="K1082" t="s">
        <v>42</v>
      </c>
      <c r="L1082" t="s">
        <v>42</v>
      </c>
      <c r="M1082" t="s">
        <v>122</v>
      </c>
      <c r="N1082">
        <v>12.29</v>
      </c>
    </row>
    <row r="1083" spans="1:14" x14ac:dyDescent="0.25">
      <c r="A1083" t="s">
        <v>69</v>
      </c>
      <c r="B1083" s="11" t="s">
        <v>68</v>
      </c>
      <c r="C1083" t="s">
        <v>121</v>
      </c>
      <c r="D1083">
        <f>35.8+33.1</f>
        <v>68.900000000000006</v>
      </c>
      <c r="E1083">
        <v>35.799999999999997</v>
      </c>
      <c r="F1083">
        <v>33.1</v>
      </c>
      <c r="G1083" t="s">
        <v>42</v>
      </c>
      <c r="H1083" t="s">
        <v>42</v>
      </c>
      <c r="I1083" t="s">
        <v>42</v>
      </c>
      <c r="J1083" t="s">
        <v>42</v>
      </c>
      <c r="K1083" t="s">
        <v>42</v>
      </c>
      <c r="L1083" t="s">
        <v>42</v>
      </c>
      <c r="M1083" t="s">
        <v>124</v>
      </c>
      <c r="N1083">
        <v>5.58</v>
      </c>
    </row>
    <row r="1084" spans="1:14" x14ac:dyDescent="0.25">
      <c r="A1084" t="s">
        <v>69</v>
      </c>
      <c r="B1084" s="11" t="s">
        <v>68</v>
      </c>
      <c r="C1084" t="s">
        <v>121</v>
      </c>
      <c r="D1084">
        <v>32.799999999999997</v>
      </c>
      <c r="E1084">
        <f t="shared" ref="E1084:E1087" si="31">D1084</f>
        <v>32.799999999999997</v>
      </c>
      <c r="F1084" t="s">
        <v>42</v>
      </c>
      <c r="G1084" t="s">
        <v>42</v>
      </c>
      <c r="H1084" t="s">
        <v>42</v>
      </c>
      <c r="I1084" t="s">
        <v>42</v>
      </c>
      <c r="J1084" t="s">
        <v>42</v>
      </c>
      <c r="K1084" t="s">
        <v>42</v>
      </c>
      <c r="L1084" t="s">
        <v>42</v>
      </c>
      <c r="M1084" t="s">
        <v>122</v>
      </c>
      <c r="N1084">
        <v>13.71</v>
      </c>
    </row>
    <row r="1085" spans="1:14" x14ac:dyDescent="0.25">
      <c r="A1085" t="s">
        <v>69</v>
      </c>
      <c r="B1085" s="11" t="s">
        <v>68</v>
      </c>
      <c r="C1085" t="s">
        <v>121</v>
      </c>
      <c r="D1085">
        <v>61.6</v>
      </c>
      <c r="E1085">
        <f t="shared" si="31"/>
        <v>61.6</v>
      </c>
      <c r="F1085" t="s">
        <v>42</v>
      </c>
      <c r="G1085" t="s">
        <v>42</v>
      </c>
      <c r="H1085" t="s">
        <v>42</v>
      </c>
      <c r="I1085" t="s">
        <v>42</v>
      </c>
      <c r="J1085" t="s">
        <v>42</v>
      </c>
      <c r="K1085" t="s">
        <v>42</v>
      </c>
      <c r="L1085" t="s">
        <v>42</v>
      </c>
      <c r="M1085" t="s">
        <v>122</v>
      </c>
      <c r="N1085">
        <v>13.71</v>
      </c>
    </row>
    <row r="1086" spans="1:14" x14ac:dyDescent="0.25">
      <c r="A1086" t="s">
        <v>69</v>
      </c>
      <c r="B1086" s="11" t="s">
        <v>68</v>
      </c>
      <c r="C1086" t="s">
        <v>121</v>
      </c>
      <c r="D1086">
        <v>14.2</v>
      </c>
      <c r="E1086">
        <f t="shared" si="31"/>
        <v>14.2</v>
      </c>
      <c r="F1086" t="s">
        <v>42</v>
      </c>
      <c r="G1086" t="s">
        <v>42</v>
      </c>
      <c r="H1086" t="s">
        <v>42</v>
      </c>
      <c r="I1086" t="s">
        <v>42</v>
      </c>
      <c r="J1086" t="s">
        <v>42</v>
      </c>
      <c r="K1086" t="s">
        <v>42</v>
      </c>
      <c r="L1086" t="s">
        <v>42</v>
      </c>
      <c r="M1086" t="s">
        <v>122</v>
      </c>
      <c r="N1086">
        <v>13.85</v>
      </c>
    </row>
    <row r="1087" spans="1:14" x14ac:dyDescent="0.25">
      <c r="A1087" t="s">
        <v>69</v>
      </c>
      <c r="B1087" s="11" t="s">
        <v>68</v>
      </c>
      <c r="C1087" t="s">
        <v>121</v>
      </c>
      <c r="D1087">
        <v>28.1</v>
      </c>
      <c r="E1087">
        <f t="shared" si="31"/>
        <v>28.1</v>
      </c>
      <c r="F1087" t="s">
        <v>42</v>
      </c>
      <c r="G1087" t="s">
        <v>42</v>
      </c>
      <c r="H1087" t="s">
        <v>42</v>
      </c>
      <c r="I1087" t="s">
        <v>42</v>
      </c>
      <c r="J1087" t="s">
        <v>42</v>
      </c>
      <c r="K1087" t="s">
        <v>42</v>
      </c>
      <c r="L1087" t="s">
        <v>42</v>
      </c>
      <c r="M1087" t="s">
        <v>122</v>
      </c>
      <c r="N1087">
        <v>13.11</v>
      </c>
    </row>
    <row r="1088" spans="1:14" x14ac:dyDescent="0.25">
      <c r="A1088" t="s">
        <v>69</v>
      </c>
      <c r="B1088" s="11" t="s">
        <v>68</v>
      </c>
      <c r="C1088" t="s">
        <v>121</v>
      </c>
      <c r="D1088">
        <f>51.5+41.9</f>
        <v>93.4</v>
      </c>
      <c r="E1088">
        <v>51.5</v>
      </c>
      <c r="F1088">
        <v>41.9</v>
      </c>
      <c r="G1088" t="s">
        <v>42</v>
      </c>
      <c r="H1088" t="s">
        <v>42</v>
      </c>
      <c r="I1088" t="s">
        <v>42</v>
      </c>
      <c r="J1088" t="s">
        <v>42</v>
      </c>
      <c r="K1088" t="s">
        <v>42</v>
      </c>
      <c r="L1088" t="s">
        <v>42</v>
      </c>
      <c r="M1088" t="s">
        <v>124</v>
      </c>
      <c r="N1088">
        <v>10.48</v>
      </c>
    </row>
    <row r="1089" spans="1:14" x14ac:dyDescent="0.25">
      <c r="A1089" t="s">
        <v>69</v>
      </c>
      <c r="B1089" s="11" t="s">
        <v>68</v>
      </c>
      <c r="C1089" t="s">
        <v>121</v>
      </c>
      <c r="D1089">
        <v>14.1</v>
      </c>
      <c r="E1089">
        <f>D1089</f>
        <v>14.1</v>
      </c>
      <c r="F1089" t="s">
        <v>42</v>
      </c>
      <c r="G1089" t="s">
        <v>42</v>
      </c>
      <c r="H1089" t="s">
        <v>42</v>
      </c>
      <c r="I1089" t="s">
        <v>42</v>
      </c>
      <c r="J1089" t="s">
        <v>42</v>
      </c>
      <c r="K1089" t="s">
        <v>42</v>
      </c>
      <c r="L1089" t="s">
        <v>42</v>
      </c>
      <c r="M1089" t="s">
        <v>122</v>
      </c>
      <c r="N1089">
        <v>8.3000000000000007</v>
      </c>
    </row>
    <row r="1090" spans="1:14" x14ac:dyDescent="0.25">
      <c r="A1090" t="s">
        <v>69</v>
      </c>
      <c r="B1090" s="11" t="s">
        <v>68</v>
      </c>
      <c r="C1090" t="s">
        <v>121</v>
      </c>
      <c r="D1090">
        <f>13.9+13.1+28.8</f>
        <v>55.8</v>
      </c>
      <c r="E1090">
        <v>13.9</v>
      </c>
      <c r="F1090">
        <v>13.1</v>
      </c>
      <c r="G1090">
        <v>28.8</v>
      </c>
      <c r="H1090" t="s">
        <v>42</v>
      </c>
      <c r="I1090" t="s">
        <v>42</v>
      </c>
      <c r="J1090" t="s">
        <v>42</v>
      </c>
      <c r="K1090" t="s">
        <v>42</v>
      </c>
      <c r="L1090" t="s">
        <v>42</v>
      </c>
      <c r="M1090" t="s">
        <v>125</v>
      </c>
      <c r="N1090">
        <v>7.01</v>
      </c>
    </row>
    <row r="1091" spans="1:14" x14ac:dyDescent="0.25">
      <c r="A1091" t="s">
        <v>69</v>
      </c>
      <c r="B1091" s="11" t="s">
        <v>68</v>
      </c>
      <c r="C1091" t="s">
        <v>121</v>
      </c>
      <c r="D1091">
        <f>17.1+16.7+22.5</f>
        <v>56.3</v>
      </c>
      <c r="E1091">
        <v>17.100000000000001</v>
      </c>
      <c r="F1091">
        <v>16.7</v>
      </c>
      <c r="G1091">
        <v>22.5</v>
      </c>
      <c r="H1091" t="s">
        <v>42</v>
      </c>
      <c r="I1091" t="s">
        <v>42</v>
      </c>
      <c r="J1091" t="s">
        <v>42</v>
      </c>
      <c r="K1091" t="s">
        <v>42</v>
      </c>
      <c r="L1091" t="s">
        <v>42</v>
      </c>
      <c r="M1091" t="s">
        <v>125</v>
      </c>
      <c r="N1091">
        <v>9.3000000000000007</v>
      </c>
    </row>
    <row r="1092" spans="1:14" x14ac:dyDescent="0.25">
      <c r="A1092" t="s">
        <v>69</v>
      </c>
      <c r="B1092" s="11" t="s">
        <v>68</v>
      </c>
      <c r="C1092" t="s">
        <v>121</v>
      </c>
      <c r="D1092">
        <f>41.5+30.6</f>
        <v>72.099999999999994</v>
      </c>
      <c r="E1092">
        <v>41.5</v>
      </c>
      <c r="F1092">
        <v>30.6</v>
      </c>
      <c r="G1092" t="s">
        <v>42</v>
      </c>
      <c r="H1092" t="s">
        <v>42</v>
      </c>
      <c r="I1092" t="s">
        <v>42</v>
      </c>
      <c r="J1092" t="s">
        <v>42</v>
      </c>
      <c r="K1092" t="s">
        <v>42</v>
      </c>
      <c r="L1092" t="s">
        <v>42</v>
      </c>
      <c r="M1092" t="s">
        <v>124</v>
      </c>
      <c r="N1092">
        <v>6.47</v>
      </c>
    </row>
    <row r="1093" spans="1:14" x14ac:dyDescent="0.25">
      <c r="A1093" t="s">
        <v>69</v>
      </c>
      <c r="B1093" s="11" t="s">
        <v>68</v>
      </c>
      <c r="C1093" t="s">
        <v>121</v>
      </c>
      <c r="D1093">
        <v>31.2</v>
      </c>
      <c r="E1093">
        <f t="shared" ref="E1093:E1096" si="32">D1093</f>
        <v>31.2</v>
      </c>
      <c r="F1093" t="s">
        <v>42</v>
      </c>
      <c r="G1093" t="s">
        <v>42</v>
      </c>
      <c r="H1093" t="s">
        <v>42</v>
      </c>
      <c r="I1093" t="s">
        <v>42</v>
      </c>
      <c r="J1093" t="s">
        <v>42</v>
      </c>
      <c r="K1093" t="s">
        <v>42</v>
      </c>
      <c r="L1093" t="s">
        <v>42</v>
      </c>
      <c r="M1093" t="s">
        <v>122</v>
      </c>
      <c r="N1093">
        <v>7.75</v>
      </c>
    </row>
    <row r="1094" spans="1:14" x14ac:dyDescent="0.25">
      <c r="A1094" t="s">
        <v>69</v>
      </c>
      <c r="B1094" s="11" t="s">
        <v>68</v>
      </c>
      <c r="C1094" t="s">
        <v>121</v>
      </c>
      <c r="D1094">
        <v>31.1</v>
      </c>
      <c r="E1094">
        <f t="shared" si="32"/>
        <v>31.1</v>
      </c>
      <c r="F1094" t="s">
        <v>42</v>
      </c>
      <c r="G1094" t="s">
        <v>42</v>
      </c>
      <c r="H1094" t="s">
        <v>42</v>
      </c>
      <c r="I1094" t="s">
        <v>42</v>
      </c>
      <c r="J1094" t="s">
        <v>42</v>
      </c>
      <c r="K1094" t="s">
        <v>42</v>
      </c>
      <c r="L1094" t="s">
        <v>42</v>
      </c>
      <c r="M1094" t="s">
        <v>122</v>
      </c>
      <c r="N1094">
        <v>8.69</v>
      </c>
    </row>
    <row r="1095" spans="1:14" x14ac:dyDescent="0.25">
      <c r="A1095" t="s">
        <v>69</v>
      </c>
      <c r="B1095" s="11" t="s">
        <v>68</v>
      </c>
      <c r="C1095" t="s">
        <v>121</v>
      </c>
      <c r="D1095">
        <v>32.6</v>
      </c>
      <c r="E1095">
        <f t="shared" si="32"/>
        <v>32.6</v>
      </c>
      <c r="F1095" t="s">
        <v>42</v>
      </c>
      <c r="G1095" t="s">
        <v>42</v>
      </c>
      <c r="H1095" t="s">
        <v>42</v>
      </c>
      <c r="I1095" t="s">
        <v>42</v>
      </c>
      <c r="J1095" t="s">
        <v>42</v>
      </c>
      <c r="K1095" t="s">
        <v>42</v>
      </c>
      <c r="L1095" t="s">
        <v>42</v>
      </c>
      <c r="M1095" t="s">
        <v>122</v>
      </c>
      <c r="N1095">
        <v>12.32</v>
      </c>
    </row>
    <row r="1096" spans="1:14" x14ac:dyDescent="0.25">
      <c r="A1096" t="s">
        <v>69</v>
      </c>
      <c r="B1096" s="11" t="s">
        <v>68</v>
      </c>
      <c r="C1096" t="s">
        <v>121</v>
      </c>
      <c r="D1096">
        <v>26.4</v>
      </c>
      <c r="E1096">
        <f t="shared" si="32"/>
        <v>26.4</v>
      </c>
      <c r="F1096" t="s">
        <v>42</v>
      </c>
      <c r="G1096" t="s">
        <v>42</v>
      </c>
      <c r="H1096" t="s">
        <v>42</v>
      </c>
      <c r="I1096" t="s">
        <v>42</v>
      </c>
      <c r="J1096" t="s">
        <v>42</v>
      </c>
      <c r="K1096" t="s">
        <v>42</v>
      </c>
      <c r="L1096" t="s">
        <v>42</v>
      </c>
      <c r="M1096" t="s">
        <v>122</v>
      </c>
      <c r="N1096">
        <v>15</v>
      </c>
    </row>
    <row r="1097" spans="1:14" x14ac:dyDescent="0.25">
      <c r="A1097" t="s">
        <v>69</v>
      </c>
      <c r="B1097" s="11" t="s">
        <v>68</v>
      </c>
      <c r="C1097" t="s">
        <v>121</v>
      </c>
      <c r="D1097">
        <f>12.2+8.1</f>
        <v>20.299999999999997</v>
      </c>
      <c r="E1097">
        <v>12.2</v>
      </c>
      <c r="F1097">
        <v>8.1</v>
      </c>
      <c r="G1097" t="s">
        <v>42</v>
      </c>
      <c r="H1097" t="s">
        <v>42</v>
      </c>
      <c r="I1097" t="s">
        <v>42</v>
      </c>
      <c r="J1097" t="s">
        <v>42</v>
      </c>
      <c r="K1097" t="s">
        <v>42</v>
      </c>
      <c r="L1097" t="s">
        <v>42</v>
      </c>
      <c r="M1097" t="s">
        <v>124</v>
      </c>
      <c r="N1097">
        <v>14.8</v>
      </c>
    </row>
    <row r="1098" spans="1:14" x14ac:dyDescent="0.25">
      <c r="A1098" t="s">
        <v>69</v>
      </c>
      <c r="B1098" s="11" t="s">
        <v>68</v>
      </c>
      <c r="C1098" t="s">
        <v>121</v>
      </c>
      <c r="D1098">
        <v>21.2</v>
      </c>
      <c r="E1098">
        <f t="shared" ref="E1098:E1103" si="33">D1098</f>
        <v>21.2</v>
      </c>
      <c r="F1098" t="s">
        <v>42</v>
      </c>
      <c r="G1098" t="s">
        <v>42</v>
      </c>
      <c r="H1098" t="s">
        <v>42</v>
      </c>
      <c r="I1098" t="s">
        <v>42</v>
      </c>
      <c r="J1098" t="s">
        <v>42</v>
      </c>
      <c r="K1098" t="s">
        <v>42</v>
      </c>
      <c r="L1098" t="s">
        <v>42</v>
      </c>
      <c r="M1098" t="s">
        <v>122</v>
      </c>
      <c r="N1098">
        <v>11.04</v>
      </c>
    </row>
    <row r="1099" spans="1:14" x14ac:dyDescent="0.25">
      <c r="A1099" t="s">
        <v>69</v>
      </c>
      <c r="B1099" s="11" t="s">
        <v>68</v>
      </c>
      <c r="C1099" t="s">
        <v>121</v>
      </c>
      <c r="D1099">
        <v>8.1</v>
      </c>
      <c r="E1099">
        <f t="shared" si="33"/>
        <v>8.1</v>
      </c>
      <c r="F1099" t="s">
        <v>42</v>
      </c>
      <c r="G1099" t="s">
        <v>42</v>
      </c>
      <c r="H1099" t="s">
        <v>42</v>
      </c>
      <c r="I1099" t="s">
        <v>42</v>
      </c>
      <c r="J1099" t="s">
        <v>42</v>
      </c>
      <c r="K1099" t="s">
        <v>42</v>
      </c>
      <c r="L1099" t="s">
        <v>42</v>
      </c>
      <c r="M1099" t="s">
        <v>122</v>
      </c>
      <c r="N1099">
        <v>14.96</v>
      </c>
    </row>
    <row r="1100" spans="1:14" x14ac:dyDescent="0.25">
      <c r="A1100" t="s">
        <v>69</v>
      </c>
      <c r="B1100" s="11" t="s">
        <v>68</v>
      </c>
      <c r="C1100" t="s">
        <v>121</v>
      </c>
      <c r="D1100">
        <v>33.799999999999997</v>
      </c>
      <c r="E1100">
        <f t="shared" si="33"/>
        <v>33.799999999999997</v>
      </c>
      <c r="F1100" t="s">
        <v>42</v>
      </c>
      <c r="G1100" t="s">
        <v>42</v>
      </c>
      <c r="H1100" t="s">
        <v>42</v>
      </c>
      <c r="I1100" t="s">
        <v>42</v>
      </c>
      <c r="J1100" t="s">
        <v>42</v>
      </c>
      <c r="K1100" t="s">
        <v>42</v>
      </c>
      <c r="L1100" t="s">
        <v>42</v>
      </c>
      <c r="M1100" t="s">
        <v>122</v>
      </c>
      <c r="N1100">
        <v>14.41</v>
      </c>
    </row>
    <row r="1101" spans="1:14" x14ac:dyDescent="0.25">
      <c r="A1101" t="s">
        <v>69</v>
      </c>
      <c r="B1101" s="11" t="s">
        <v>68</v>
      </c>
      <c r="C1101" t="s">
        <v>121</v>
      </c>
      <c r="D1101">
        <v>33.200000000000003</v>
      </c>
      <c r="E1101">
        <f t="shared" si="33"/>
        <v>33.200000000000003</v>
      </c>
      <c r="F1101" t="s">
        <v>42</v>
      </c>
      <c r="G1101" t="s">
        <v>42</v>
      </c>
      <c r="H1101" t="s">
        <v>42</v>
      </c>
      <c r="I1101" t="s">
        <v>42</v>
      </c>
      <c r="J1101" t="s">
        <v>42</v>
      </c>
      <c r="K1101" t="s">
        <v>42</v>
      </c>
      <c r="L1101" t="s">
        <v>42</v>
      </c>
      <c r="M1101" t="s">
        <v>122</v>
      </c>
      <c r="N1101">
        <v>13.1</v>
      </c>
    </row>
    <row r="1102" spans="1:14" x14ac:dyDescent="0.25">
      <c r="A1102" t="s">
        <v>69</v>
      </c>
      <c r="B1102" s="11" t="s">
        <v>68</v>
      </c>
      <c r="C1102" t="s">
        <v>121</v>
      </c>
      <c r="D1102">
        <v>44.5</v>
      </c>
      <c r="E1102">
        <f t="shared" si="33"/>
        <v>44.5</v>
      </c>
      <c r="F1102" t="s">
        <v>42</v>
      </c>
      <c r="G1102" t="s">
        <v>42</v>
      </c>
      <c r="H1102" t="s">
        <v>42</v>
      </c>
      <c r="I1102" t="s">
        <v>42</v>
      </c>
      <c r="J1102" t="s">
        <v>42</v>
      </c>
      <c r="K1102" t="s">
        <v>42</v>
      </c>
      <c r="L1102" t="s">
        <v>42</v>
      </c>
      <c r="M1102" t="s">
        <v>122</v>
      </c>
      <c r="N1102">
        <v>0.17</v>
      </c>
    </row>
    <row r="1103" spans="1:14" x14ac:dyDescent="0.25">
      <c r="A1103" t="s">
        <v>69</v>
      </c>
      <c r="B1103" s="11" t="s">
        <v>68</v>
      </c>
      <c r="C1103" t="s">
        <v>121</v>
      </c>
      <c r="D1103">
        <v>33.6</v>
      </c>
      <c r="E1103">
        <f t="shared" si="33"/>
        <v>33.6</v>
      </c>
      <c r="F1103" t="s">
        <v>42</v>
      </c>
      <c r="G1103" t="s">
        <v>42</v>
      </c>
      <c r="H1103" t="s">
        <v>42</v>
      </c>
      <c r="I1103" t="s">
        <v>42</v>
      </c>
      <c r="J1103" t="s">
        <v>42</v>
      </c>
      <c r="K1103" t="s">
        <v>42</v>
      </c>
      <c r="L1103" t="s">
        <v>42</v>
      </c>
      <c r="M1103" t="s">
        <v>122</v>
      </c>
      <c r="N1103">
        <v>13.32</v>
      </c>
    </row>
    <row r="1104" spans="1:14" x14ac:dyDescent="0.25">
      <c r="A1104" t="s">
        <v>69</v>
      </c>
      <c r="B1104" s="11" t="s">
        <v>68</v>
      </c>
      <c r="C1104" t="s">
        <v>121</v>
      </c>
      <c r="D1104">
        <f>17.4+9.5</f>
        <v>26.9</v>
      </c>
      <c r="E1104">
        <v>17.399999999999999</v>
      </c>
      <c r="F1104">
        <v>9.5</v>
      </c>
      <c r="G1104" t="s">
        <v>42</v>
      </c>
      <c r="H1104" t="s">
        <v>42</v>
      </c>
      <c r="I1104" t="s">
        <v>42</v>
      </c>
      <c r="J1104" t="s">
        <v>42</v>
      </c>
      <c r="K1104" t="s">
        <v>42</v>
      </c>
      <c r="L1104" t="s">
        <v>42</v>
      </c>
      <c r="M1104" t="s">
        <v>124</v>
      </c>
      <c r="N1104">
        <v>11.58</v>
      </c>
    </row>
    <row r="1105" spans="1:14" x14ac:dyDescent="0.25">
      <c r="A1105" t="s">
        <v>69</v>
      </c>
      <c r="B1105" s="11" t="s">
        <v>68</v>
      </c>
      <c r="C1105" t="s">
        <v>121</v>
      </c>
      <c r="D1105">
        <v>31.6</v>
      </c>
      <c r="E1105">
        <f t="shared" ref="E1105:E1115" si="34">D1105</f>
        <v>31.6</v>
      </c>
      <c r="F1105" t="s">
        <v>42</v>
      </c>
      <c r="G1105" t="s">
        <v>42</v>
      </c>
      <c r="H1105" t="s">
        <v>42</v>
      </c>
      <c r="I1105" t="s">
        <v>42</v>
      </c>
      <c r="J1105" t="s">
        <v>42</v>
      </c>
      <c r="K1105" t="s">
        <v>42</v>
      </c>
      <c r="L1105" t="s">
        <v>42</v>
      </c>
      <c r="M1105" t="s">
        <v>122</v>
      </c>
      <c r="N1105">
        <v>8.35</v>
      </c>
    </row>
    <row r="1106" spans="1:14" x14ac:dyDescent="0.25">
      <c r="A1106" t="s">
        <v>69</v>
      </c>
      <c r="B1106" s="11" t="s">
        <v>68</v>
      </c>
      <c r="C1106" t="s">
        <v>121</v>
      </c>
      <c r="D1106">
        <v>13</v>
      </c>
      <c r="E1106">
        <f t="shared" si="34"/>
        <v>13</v>
      </c>
      <c r="F1106" t="s">
        <v>42</v>
      </c>
      <c r="G1106" t="s">
        <v>42</v>
      </c>
      <c r="H1106" t="s">
        <v>42</v>
      </c>
      <c r="I1106" t="s">
        <v>42</v>
      </c>
      <c r="J1106" t="s">
        <v>42</v>
      </c>
      <c r="K1106" t="s">
        <v>42</v>
      </c>
      <c r="L1106" t="s">
        <v>42</v>
      </c>
      <c r="M1106" t="s">
        <v>122</v>
      </c>
      <c r="N1106">
        <v>11.24</v>
      </c>
    </row>
    <row r="1107" spans="1:14" x14ac:dyDescent="0.25">
      <c r="A1107" t="s">
        <v>70</v>
      </c>
      <c r="B1107" s="11" t="s">
        <v>68</v>
      </c>
      <c r="C1107" t="s">
        <v>121</v>
      </c>
      <c r="D1107">
        <v>42.9</v>
      </c>
      <c r="E1107">
        <f t="shared" si="34"/>
        <v>42.9</v>
      </c>
      <c r="F1107" t="s">
        <v>42</v>
      </c>
      <c r="G1107" t="s">
        <v>42</v>
      </c>
      <c r="H1107" t="s">
        <v>42</v>
      </c>
      <c r="I1107" t="s">
        <v>42</v>
      </c>
      <c r="J1107" t="s">
        <v>42</v>
      </c>
      <c r="K1107" t="s">
        <v>42</v>
      </c>
      <c r="L1107" t="s">
        <v>42</v>
      </c>
      <c r="M1107" t="s">
        <v>122</v>
      </c>
      <c r="N1107">
        <v>0.68</v>
      </c>
    </row>
    <row r="1108" spans="1:14" x14ac:dyDescent="0.25">
      <c r="A1108" t="s">
        <v>70</v>
      </c>
      <c r="B1108" s="11" t="s">
        <v>68</v>
      </c>
      <c r="C1108" t="s">
        <v>121</v>
      </c>
      <c r="D1108">
        <v>55.8</v>
      </c>
      <c r="E1108">
        <f t="shared" si="34"/>
        <v>55.8</v>
      </c>
      <c r="F1108" t="s">
        <v>42</v>
      </c>
      <c r="G1108" t="s">
        <v>42</v>
      </c>
      <c r="H1108" t="s">
        <v>42</v>
      </c>
      <c r="I1108" t="s">
        <v>42</v>
      </c>
      <c r="J1108" t="s">
        <v>42</v>
      </c>
      <c r="K1108" t="s">
        <v>42</v>
      </c>
      <c r="L1108" t="s">
        <v>42</v>
      </c>
      <c r="M1108" t="s">
        <v>122</v>
      </c>
      <c r="N1108">
        <v>5.68</v>
      </c>
    </row>
    <row r="1109" spans="1:14" x14ac:dyDescent="0.25">
      <c r="A1109" t="s">
        <v>70</v>
      </c>
      <c r="B1109" s="11" t="s">
        <v>68</v>
      </c>
      <c r="C1109" t="s">
        <v>123</v>
      </c>
      <c r="D1109">
        <v>17</v>
      </c>
      <c r="E1109">
        <f t="shared" si="34"/>
        <v>17</v>
      </c>
      <c r="F1109" t="s">
        <v>42</v>
      </c>
      <c r="G1109" t="s">
        <v>42</v>
      </c>
      <c r="H1109" t="s">
        <v>42</v>
      </c>
      <c r="I1109" t="s">
        <v>42</v>
      </c>
      <c r="J1109" t="s">
        <v>42</v>
      </c>
      <c r="K1109" t="s">
        <v>42</v>
      </c>
      <c r="L1109" t="s">
        <v>42</v>
      </c>
      <c r="M1109" t="s">
        <v>122</v>
      </c>
      <c r="N1109">
        <v>8.42</v>
      </c>
    </row>
    <row r="1110" spans="1:14" x14ac:dyDescent="0.25">
      <c r="A1110" t="s">
        <v>70</v>
      </c>
      <c r="B1110" s="11" t="s">
        <v>68</v>
      </c>
      <c r="C1110" t="s">
        <v>121</v>
      </c>
      <c r="D1110">
        <v>9.3000000000000007</v>
      </c>
      <c r="E1110">
        <f t="shared" si="34"/>
        <v>9.3000000000000007</v>
      </c>
      <c r="F1110" t="s">
        <v>42</v>
      </c>
      <c r="G1110" t="s">
        <v>42</v>
      </c>
      <c r="H1110" t="s">
        <v>42</v>
      </c>
      <c r="I1110" t="s">
        <v>42</v>
      </c>
      <c r="J1110" t="s">
        <v>42</v>
      </c>
      <c r="K1110" t="s">
        <v>42</v>
      </c>
      <c r="L1110" t="s">
        <v>42</v>
      </c>
      <c r="M1110" t="s">
        <v>122</v>
      </c>
      <c r="N1110">
        <v>7.75</v>
      </c>
    </row>
    <row r="1111" spans="1:14" x14ac:dyDescent="0.25">
      <c r="A1111" t="s">
        <v>70</v>
      </c>
      <c r="B1111" s="11" t="s">
        <v>68</v>
      </c>
      <c r="C1111" t="s">
        <v>121</v>
      </c>
      <c r="D1111">
        <v>38.4</v>
      </c>
      <c r="E1111">
        <f t="shared" si="34"/>
        <v>38.4</v>
      </c>
      <c r="F1111" t="s">
        <v>42</v>
      </c>
      <c r="G1111" t="s">
        <v>42</v>
      </c>
      <c r="H1111" t="s">
        <v>42</v>
      </c>
      <c r="I1111" t="s">
        <v>42</v>
      </c>
      <c r="J1111" t="s">
        <v>42</v>
      </c>
      <c r="K1111" t="s">
        <v>42</v>
      </c>
      <c r="L1111" t="s">
        <v>42</v>
      </c>
      <c r="M1111" t="s">
        <v>122</v>
      </c>
      <c r="N1111">
        <v>6.52</v>
      </c>
    </row>
    <row r="1112" spans="1:14" x14ac:dyDescent="0.25">
      <c r="A1112" t="s">
        <v>70</v>
      </c>
      <c r="B1112" s="11" t="s">
        <v>68</v>
      </c>
      <c r="C1112" t="s">
        <v>123</v>
      </c>
      <c r="D1112">
        <v>8.6</v>
      </c>
      <c r="E1112">
        <f t="shared" si="34"/>
        <v>8.6</v>
      </c>
      <c r="F1112" t="s">
        <v>42</v>
      </c>
      <c r="G1112" t="s">
        <v>42</v>
      </c>
      <c r="H1112" t="s">
        <v>42</v>
      </c>
      <c r="I1112" t="s">
        <v>42</v>
      </c>
      <c r="J1112" t="s">
        <v>42</v>
      </c>
      <c r="K1112" t="s">
        <v>42</v>
      </c>
      <c r="L1112" t="s">
        <v>42</v>
      </c>
      <c r="M1112" t="s">
        <v>122</v>
      </c>
      <c r="N1112">
        <v>4</v>
      </c>
    </row>
    <row r="1113" spans="1:14" x14ac:dyDescent="0.25">
      <c r="A1113" t="s">
        <v>70</v>
      </c>
      <c r="B1113" s="11" t="s">
        <v>68</v>
      </c>
      <c r="C1113" t="s">
        <v>121</v>
      </c>
      <c r="D1113">
        <v>16</v>
      </c>
      <c r="E1113">
        <f t="shared" si="34"/>
        <v>16</v>
      </c>
      <c r="F1113" t="s">
        <v>42</v>
      </c>
      <c r="G1113" t="s">
        <v>42</v>
      </c>
      <c r="H1113" t="s">
        <v>42</v>
      </c>
      <c r="I1113" t="s">
        <v>42</v>
      </c>
      <c r="J1113" t="s">
        <v>42</v>
      </c>
      <c r="K1113" t="s">
        <v>42</v>
      </c>
      <c r="L1113" t="s">
        <v>42</v>
      </c>
      <c r="M1113" t="s">
        <v>122</v>
      </c>
      <c r="N1113">
        <v>2.09</v>
      </c>
    </row>
    <row r="1114" spans="1:14" x14ac:dyDescent="0.25">
      <c r="A1114" t="s">
        <v>70</v>
      </c>
      <c r="B1114" s="11" t="s">
        <v>68</v>
      </c>
      <c r="C1114" t="s">
        <v>121</v>
      </c>
      <c r="D1114">
        <v>30.5</v>
      </c>
      <c r="E1114">
        <f t="shared" si="34"/>
        <v>30.5</v>
      </c>
      <c r="F1114" t="s">
        <v>42</v>
      </c>
      <c r="G1114" t="s">
        <v>42</v>
      </c>
      <c r="H1114" t="s">
        <v>42</v>
      </c>
      <c r="I1114" t="s">
        <v>42</v>
      </c>
      <c r="J1114" t="s">
        <v>42</v>
      </c>
      <c r="K1114" t="s">
        <v>42</v>
      </c>
      <c r="L1114" t="s">
        <v>42</v>
      </c>
      <c r="M1114" t="s">
        <v>122</v>
      </c>
      <c r="N1114">
        <v>5.99</v>
      </c>
    </row>
    <row r="1115" spans="1:14" x14ac:dyDescent="0.25">
      <c r="A1115" t="s">
        <v>70</v>
      </c>
      <c r="B1115" s="11" t="s">
        <v>68</v>
      </c>
      <c r="C1115" t="s">
        <v>123</v>
      </c>
      <c r="D1115">
        <v>8</v>
      </c>
      <c r="E1115">
        <f t="shared" si="34"/>
        <v>8</v>
      </c>
      <c r="F1115" t="s">
        <v>42</v>
      </c>
      <c r="G1115" t="s">
        <v>42</v>
      </c>
      <c r="H1115" t="s">
        <v>42</v>
      </c>
      <c r="I1115" t="s">
        <v>42</v>
      </c>
      <c r="J1115" t="s">
        <v>42</v>
      </c>
      <c r="K1115" t="s">
        <v>42</v>
      </c>
      <c r="L1115" t="s">
        <v>42</v>
      </c>
      <c r="M1115" t="s">
        <v>122</v>
      </c>
      <c r="N1115">
        <v>5.24</v>
      </c>
    </row>
    <row r="1116" spans="1:14" x14ac:dyDescent="0.25">
      <c r="A1116" t="s">
        <v>70</v>
      </c>
      <c r="B1116" s="11" t="s">
        <v>68</v>
      </c>
      <c r="C1116" t="s">
        <v>121</v>
      </c>
      <c r="D1116">
        <f>60.5+21.6</f>
        <v>82.1</v>
      </c>
      <c r="E1116">
        <v>60.5</v>
      </c>
      <c r="F1116">
        <v>21.6</v>
      </c>
      <c r="G1116" t="s">
        <v>42</v>
      </c>
      <c r="H1116" t="s">
        <v>42</v>
      </c>
      <c r="I1116" t="s">
        <v>42</v>
      </c>
      <c r="J1116" t="s">
        <v>42</v>
      </c>
      <c r="K1116" t="s">
        <v>42</v>
      </c>
      <c r="L1116" t="s">
        <v>42</v>
      </c>
      <c r="M1116" t="s">
        <v>124</v>
      </c>
      <c r="N1116">
        <v>4.66</v>
      </c>
    </row>
    <row r="1117" spans="1:14" x14ac:dyDescent="0.25">
      <c r="A1117" t="s">
        <v>70</v>
      </c>
      <c r="B1117" s="11" t="s">
        <v>68</v>
      </c>
      <c r="C1117" t="s">
        <v>121</v>
      </c>
      <c r="D1117">
        <f>45.8+8.5</f>
        <v>54.3</v>
      </c>
      <c r="E1117">
        <v>45.8</v>
      </c>
      <c r="F1117">
        <v>8.5</v>
      </c>
      <c r="G1117" t="s">
        <v>42</v>
      </c>
      <c r="H1117" t="s">
        <v>42</v>
      </c>
      <c r="I1117" t="s">
        <v>42</v>
      </c>
      <c r="J1117" t="s">
        <v>42</v>
      </c>
      <c r="K1117" t="s">
        <v>42</v>
      </c>
      <c r="L1117" t="s">
        <v>42</v>
      </c>
      <c r="M1117" t="s">
        <v>124</v>
      </c>
      <c r="N1117">
        <v>11.9</v>
      </c>
    </row>
    <row r="1118" spans="1:14" x14ac:dyDescent="0.25">
      <c r="A1118" t="s">
        <v>70</v>
      </c>
      <c r="B1118" s="11" t="s">
        <v>68</v>
      </c>
      <c r="C1118" t="s">
        <v>121</v>
      </c>
      <c r="D1118">
        <v>32.9</v>
      </c>
      <c r="E1118">
        <f t="shared" ref="E1118:E1120" si="35">D1118</f>
        <v>32.9</v>
      </c>
      <c r="F1118" t="s">
        <v>42</v>
      </c>
      <c r="G1118" t="s">
        <v>42</v>
      </c>
      <c r="H1118" t="s">
        <v>42</v>
      </c>
      <c r="I1118" t="s">
        <v>42</v>
      </c>
      <c r="J1118" t="s">
        <v>42</v>
      </c>
      <c r="K1118" t="s">
        <v>42</v>
      </c>
      <c r="L1118" t="s">
        <v>42</v>
      </c>
      <c r="M1118" t="s">
        <v>122</v>
      </c>
      <c r="N1118">
        <v>13.69</v>
      </c>
    </row>
    <row r="1119" spans="1:14" x14ac:dyDescent="0.25">
      <c r="A1119" t="s">
        <v>70</v>
      </c>
      <c r="B1119" s="11" t="s">
        <v>68</v>
      </c>
      <c r="C1119" t="s">
        <v>121</v>
      </c>
      <c r="D1119">
        <v>9.9</v>
      </c>
      <c r="E1119">
        <f t="shared" si="35"/>
        <v>9.9</v>
      </c>
      <c r="F1119" t="s">
        <v>42</v>
      </c>
      <c r="G1119" t="s">
        <v>42</v>
      </c>
      <c r="H1119" t="s">
        <v>42</v>
      </c>
      <c r="I1119" t="s">
        <v>42</v>
      </c>
      <c r="J1119" t="s">
        <v>42</v>
      </c>
      <c r="K1119" t="s">
        <v>42</v>
      </c>
      <c r="L1119" t="s">
        <v>42</v>
      </c>
      <c r="M1119" t="s">
        <v>122</v>
      </c>
      <c r="N1119">
        <v>14.32</v>
      </c>
    </row>
    <row r="1120" spans="1:14" x14ac:dyDescent="0.25">
      <c r="A1120" t="s">
        <v>70</v>
      </c>
      <c r="B1120" s="11" t="s">
        <v>68</v>
      </c>
      <c r="C1120" t="s">
        <v>121</v>
      </c>
      <c r="D1120">
        <v>35.5</v>
      </c>
      <c r="E1120">
        <f t="shared" si="35"/>
        <v>35.5</v>
      </c>
      <c r="F1120" t="s">
        <v>42</v>
      </c>
      <c r="G1120" t="s">
        <v>42</v>
      </c>
      <c r="H1120" t="s">
        <v>42</v>
      </c>
      <c r="I1120" t="s">
        <v>42</v>
      </c>
      <c r="J1120" t="s">
        <v>42</v>
      </c>
      <c r="K1120" t="s">
        <v>42</v>
      </c>
      <c r="L1120" t="s">
        <v>42</v>
      </c>
      <c r="M1120" t="s">
        <v>122</v>
      </c>
      <c r="N1120">
        <v>14.81</v>
      </c>
    </row>
    <row r="1121" spans="1:14" x14ac:dyDescent="0.25">
      <c r="A1121" t="s">
        <v>70</v>
      </c>
      <c r="B1121" s="11" t="s">
        <v>68</v>
      </c>
      <c r="C1121" t="s">
        <v>121</v>
      </c>
      <c r="D1121">
        <f>27+25.4</f>
        <v>52.4</v>
      </c>
      <c r="E1121">
        <v>27</v>
      </c>
      <c r="F1121">
        <v>25.4</v>
      </c>
      <c r="G1121" t="s">
        <v>42</v>
      </c>
      <c r="H1121" t="s">
        <v>42</v>
      </c>
      <c r="I1121" t="s">
        <v>42</v>
      </c>
      <c r="J1121" t="s">
        <v>42</v>
      </c>
      <c r="K1121" t="s">
        <v>42</v>
      </c>
      <c r="L1121" t="s">
        <v>42</v>
      </c>
      <c r="M1121" t="s">
        <v>124</v>
      </c>
      <c r="N1121">
        <v>8.02</v>
      </c>
    </row>
    <row r="1122" spans="1:14" x14ac:dyDescent="0.25">
      <c r="A1122" t="s">
        <v>70</v>
      </c>
      <c r="B1122" s="11" t="s">
        <v>68</v>
      </c>
      <c r="C1122" t="s">
        <v>121</v>
      </c>
      <c r="D1122">
        <v>37.5</v>
      </c>
      <c r="E1122">
        <f t="shared" ref="E1122:E1126" si="36">D1122</f>
        <v>37.5</v>
      </c>
      <c r="F1122" t="s">
        <v>42</v>
      </c>
      <c r="G1122" t="s">
        <v>42</v>
      </c>
      <c r="H1122" t="s">
        <v>42</v>
      </c>
      <c r="I1122" t="s">
        <v>42</v>
      </c>
      <c r="J1122" t="s">
        <v>42</v>
      </c>
      <c r="K1122" t="s">
        <v>42</v>
      </c>
      <c r="L1122" t="s">
        <v>42</v>
      </c>
      <c r="M1122" t="s">
        <v>122</v>
      </c>
      <c r="N1122">
        <v>6.57</v>
      </c>
    </row>
    <row r="1123" spans="1:14" x14ac:dyDescent="0.25">
      <c r="A1123" t="s">
        <v>70</v>
      </c>
      <c r="B1123" s="11" t="s">
        <v>68</v>
      </c>
      <c r="C1123" t="s">
        <v>121</v>
      </c>
      <c r="D1123">
        <v>19.2</v>
      </c>
      <c r="E1123">
        <f t="shared" si="36"/>
        <v>19.2</v>
      </c>
      <c r="F1123" t="s">
        <v>42</v>
      </c>
      <c r="G1123" t="s">
        <v>42</v>
      </c>
      <c r="H1123" t="s">
        <v>42</v>
      </c>
      <c r="I1123" t="s">
        <v>42</v>
      </c>
      <c r="J1123" t="s">
        <v>42</v>
      </c>
      <c r="K1123" t="s">
        <v>42</v>
      </c>
      <c r="L1123" t="s">
        <v>42</v>
      </c>
      <c r="M1123" t="s">
        <v>122</v>
      </c>
      <c r="N1123">
        <v>14</v>
      </c>
    </row>
    <row r="1124" spans="1:14" x14ac:dyDescent="0.25">
      <c r="A1124" t="s">
        <v>70</v>
      </c>
      <c r="B1124" s="11" t="s">
        <v>68</v>
      </c>
      <c r="C1124" t="s">
        <v>121</v>
      </c>
      <c r="D1124">
        <v>13.5</v>
      </c>
      <c r="E1124">
        <f t="shared" si="36"/>
        <v>13.5</v>
      </c>
      <c r="F1124" t="s">
        <v>42</v>
      </c>
      <c r="G1124" t="s">
        <v>42</v>
      </c>
      <c r="H1124" t="s">
        <v>42</v>
      </c>
      <c r="I1124" t="s">
        <v>42</v>
      </c>
      <c r="J1124" t="s">
        <v>42</v>
      </c>
      <c r="K1124" t="s">
        <v>42</v>
      </c>
      <c r="L1124" t="s">
        <v>42</v>
      </c>
      <c r="M1124" t="s">
        <v>122</v>
      </c>
      <c r="N1124">
        <v>14.66</v>
      </c>
    </row>
    <row r="1125" spans="1:14" x14ac:dyDescent="0.25">
      <c r="A1125" t="s">
        <v>70</v>
      </c>
      <c r="B1125" s="11" t="s">
        <v>68</v>
      </c>
      <c r="C1125" t="s">
        <v>121</v>
      </c>
      <c r="D1125">
        <v>9.9</v>
      </c>
      <c r="E1125">
        <f t="shared" si="36"/>
        <v>9.9</v>
      </c>
      <c r="F1125" t="s">
        <v>42</v>
      </c>
      <c r="G1125" t="s">
        <v>42</v>
      </c>
      <c r="H1125" t="s">
        <v>42</v>
      </c>
      <c r="I1125" t="s">
        <v>42</v>
      </c>
      <c r="J1125" t="s">
        <v>42</v>
      </c>
      <c r="K1125" t="s">
        <v>42</v>
      </c>
      <c r="L1125" t="s">
        <v>42</v>
      </c>
      <c r="M1125" t="s">
        <v>122</v>
      </c>
      <c r="N1125">
        <v>12.16</v>
      </c>
    </row>
    <row r="1126" spans="1:14" x14ac:dyDescent="0.25">
      <c r="A1126" t="s">
        <v>70</v>
      </c>
      <c r="B1126" s="11" t="s">
        <v>68</v>
      </c>
      <c r="C1126" t="s">
        <v>123</v>
      </c>
      <c r="D1126">
        <v>16.100000000000001</v>
      </c>
      <c r="E1126">
        <f t="shared" si="36"/>
        <v>16.100000000000001</v>
      </c>
      <c r="F1126" t="s">
        <v>42</v>
      </c>
      <c r="G1126" t="s">
        <v>42</v>
      </c>
      <c r="H1126" t="s">
        <v>42</v>
      </c>
      <c r="I1126" t="s">
        <v>42</v>
      </c>
      <c r="J1126" t="s">
        <v>42</v>
      </c>
      <c r="K1126" t="s">
        <v>42</v>
      </c>
      <c r="L1126" t="s">
        <v>42</v>
      </c>
      <c r="M1126" t="s">
        <v>122</v>
      </c>
      <c r="N1126">
        <v>14.61</v>
      </c>
    </row>
    <row r="1127" spans="1:14" x14ac:dyDescent="0.25">
      <c r="A1127" t="s">
        <v>70</v>
      </c>
      <c r="B1127" s="11" t="s">
        <v>68</v>
      </c>
      <c r="C1127" t="s">
        <v>121</v>
      </c>
      <c r="D1127">
        <f>34.1+15</f>
        <v>49.1</v>
      </c>
      <c r="E1127">
        <v>34.1</v>
      </c>
      <c r="F1127">
        <v>15</v>
      </c>
      <c r="G1127" t="s">
        <v>42</v>
      </c>
      <c r="H1127" t="s">
        <v>42</v>
      </c>
      <c r="I1127" t="s">
        <v>42</v>
      </c>
      <c r="J1127" t="s">
        <v>42</v>
      </c>
      <c r="K1127" t="s">
        <v>42</v>
      </c>
      <c r="L1127" t="s">
        <v>42</v>
      </c>
      <c r="M1127" t="s">
        <v>124</v>
      </c>
      <c r="N1127">
        <v>11.93</v>
      </c>
    </row>
    <row r="1128" spans="1:14" x14ac:dyDescent="0.25">
      <c r="A1128" t="s">
        <v>70</v>
      </c>
      <c r="B1128" s="11" t="s">
        <v>68</v>
      </c>
      <c r="C1128" t="s">
        <v>121</v>
      </c>
      <c r="D1128">
        <v>30.7</v>
      </c>
      <c r="E1128">
        <f>D1128</f>
        <v>30.7</v>
      </c>
      <c r="F1128" t="s">
        <v>42</v>
      </c>
      <c r="G1128" t="s">
        <v>42</v>
      </c>
      <c r="H1128" t="s">
        <v>42</v>
      </c>
      <c r="I1128" t="s">
        <v>42</v>
      </c>
      <c r="J1128" t="s">
        <v>42</v>
      </c>
      <c r="K1128" t="s">
        <v>42</v>
      </c>
      <c r="L1128" t="s">
        <v>42</v>
      </c>
      <c r="M1128" t="s">
        <v>122</v>
      </c>
      <c r="N1128">
        <v>10.34</v>
      </c>
    </row>
    <row r="1129" spans="1:14" x14ac:dyDescent="0.25">
      <c r="A1129" t="s">
        <v>70</v>
      </c>
      <c r="B1129" s="11" t="s">
        <v>68</v>
      </c>
      <c r="C1129" t="s">
        <v>121</v>
      </c>
      <c r="D1129">
        <f>9+36</f>
        <v>45</v>
      </c>
      <c r="E1129">
        <v>9</v>
      </c>
      <c r="F1129">
        <v>36</v>
      </c>
      <c r="G1129" t="s">
        <v>42</v>
      </c>
      <c r="H1129" t="s">
        <v>42</v>
      </c>
      <c r="I1129" t="s">
        <v>42</v>
      </c>
      <c r="J1129" t="s">
        <v>42</v>
      </c>
      <c r="K1129" t="s">
        <v>42</v>
      </c>
      <c r="L1129" t="s">
        <v>42</v>
      </c>
      <c r="M1129" t="s">
        <v>124</v>
      </c>
      <c r="N1129">
        <v>6.68</v>
      </c>
    </row>
    <row r="1130" spans="1:14" x14ac:dyDescent="0.25">
      <c r="A1130" t="s">
        <v>70</v>
      </c>
      <c r="B1130" s="11" t="s">
        <v>68</v>
      </c>
      <c r="C1130" t="s">
        <v>121</v>
      </c>
      <c r="D1130">
        <v>37.4</v>
      </c>
      <c r="E1130">
        <f>D1130</f>
        <v>37.4</v>
      </c>
      <c r="F1130" t="s">
        <v>42</v>
      </c>
      <c r="G1130" t="s">
        <v>42</v>
      </c>
      <c r="H1130" t="s">
        <v>42</v>
      </c>
      <c r="I1130" t="s">
        <v>42</v>
      </c>
      <c r="J1130" t="s">
        <v>42</v>
      </c>
      <c r="K1130" t="s">
        <v>42</v>
      </c>
      <c r="L1130" t="s">
        <v>42</v>
      </c>
      <c r="M1130" t="s">
        <v>122</v>
      </c>
      <c r="N1130">
        <v>9.82</v>
      </c>
    </row>
    <row r="1131" spans="1:14" x14ac:dyDescent="0.25">
      <c r="A1131" t="s">
        <v>70</v>
      </c>
      <c r="B1131" s="11" t="s">
        <v>68</v>
      </c>
      <c r="C1131" t="s">
        <v>121</v>
      </c>
      <c r="D1131">
        <f>13.7+31</f>
        <v>44.7</v>
      </c>
      <c r="E1131">
        <v>13.7</v>
      </c>
      <c r="F1131">
        <v>31</v>
      </c>
      <c r="G1131" t="s">
        <v>42</v>
      </c>
      <c r="H1131" t="s">
        <v>42</v>
      </c>
      <c r="I1131" t="s">
        <v>42</v>
      </c>
      <c r="J1131" t="s">
        <v>42</v>
      </c>
      <c r="K1131" t="s">
        <v>42</v>
      </c>
      <c r="L1131" t="s">
        <v>42</v>
      </c>
      <c r="M1131" t="s">
        <v>124</v>
      </c>
      <c r="N1131">
        <v>13.91</v>
      </c>
    </row>
    <row r="1132" spans="1:14" x14ac:dyDescent="0.25">
      <c r="A1132" t="s">
        <v>70</v>
      </c>
      <c r="B1132" s="11" t="s">
        <v>68</v>
      </c>
      <c r="C1132" t="s">
        <v>121</v>
      </c>
      <c r="D1132">
        <v>30.5</v>
      </c>
      <c r="E1132">
        <f t="shared" ref="E1132:E1149" si="37">D1132</f>
        <v>30.5</v>
      </c>
      <c r="F1132" t="s">
        <v>42</v>
      </c>
      <c r="G1132" t="s">
        <v>42</v>
      </c>
      <c r="H1132" t="s">
        <v>42</v>
      </c>
      <c r="I1132" t="s">
        <v>42</v>
      </c>
      <c r="J1132" t="s">
        <v>42</v>
      </c>
      <c r="K1132" t="s">
        <v>42</v>
      </c>
      <c r="L1132" t="s">
        <v>42</v>
      </c>
      <c r="M1132" t="s">
        <v>122</v>
      </c>
      <c r="N1132">
        <v>13.67</v>
      </c>
    </row>
    <row r="1133" spans="1:14" x14ac:dyDescent="0.25">
      <c r="A1133" t="s">
        <v>70</v>
      </c>
      <c r="B1133" s="11" t="s">
        <v>68</v>
      </c>
      <c r="C1133" t="s">
        <v>121</v>
      </c>
      <c r="D1133">
        <v>25.4</v>
      </c>
      <c r="E1133">
        <f t="shared" si="37"/>
        <v>25.4</v>
      </c>
      <c r="F1133" t="s">
        <v>42</v>
      </c>
      <c r="G1133" t="s">
        <v>42</v>
      </c>
      <c r="H1133" t="s">
        <v>42</v>
      </c>
      <c r="I1133" t="s">
        <v>42</v>
      </c>
      <c r="J1133" t="s">
        <v>42</v>
      </c>
      <c r="K1133" t="s">
        <v>42</v>
      </c>
      <c r="L1133" t="s">
        <v>42</v>
      </c>
      <c r="M1133" t="s">
        <v>122</v>
      </c>
      <c r="N1133">
        <v>9.84</v>
      </c>
    </row>
    <row r="1134" spans="1:14" x14ac:dyDescent="0.25">
      <c r="A1134" t="s">
        <v>70</v>
      </c>
      <c r="B1134" s="11" t="s">
        <v>68</v>
      </c>
      <c r="C1134" t="s">
        <v>121</v>
      </c>
      <c r="D1134">
        <v>33.700000000000003</v>
      </c>
      <c r="E1134">
        <f t="shared" si="37"/>
        <v>33.700000000000003</v>
      </c>
      <c r="F1134" t="s">
        <v>42</v>
      </c>
      <c r="G1134" t="s">
        <v>42</v>
      </c>
      <c r="H1134" t="s">
        <v>42</v>
      </c>
      <c r="I1134" t="s">
        <v>42</v>
      </c>
      <c r="J1134" t="s">
        <v>42</v>
      </c>
      <c r="K1134" t="s">
        <v>42</v>
      </c>
      <c r="L1134" t="s">
        <v>42</v>
      </c>
      <c r="M1134" t="s">
        <v>122</v>
      </c>
      <c r="N1134">
        <v>6.36</v>
      </c>
    </row>
    <row r="1135" spans="1:14" x14ac:dyDescent="0.25">
      <c r="A1135" t="s">
        <v>70</v>
      </c>
      <c r="B1135" s="11" t="s">
        <v>68</v>
      </c>
      <c r="C1135" t="s">
        <v>121</v>
      </c>
      <c r="D1135">
        <v>11.2</v>
      </c>
      <c r="E1135">
        <f t="shared" si="37"/>
        <v>11.2</v>
      </c>
      <c r="F1135" t="s">
        <v>42</v>
      </c>
      <c r="G1135" t="s">
        <v>42</v>
      </c>
      <c r="H1135" t="s">
        <v>42</v>
      </c>
      <c r="I1135" t="s">
        <v>42</v>
      </c>
      <c r="J1135" t="s">
        <v>42</v>
      </c>
      <c r="K1135" t="s">
        <v>42</v>
      </c>
      <c r="L1135" t="s">
        <v>42</v>
      </c>
      <c r="M1135" t="s">
        <v>122</v>
      </c>
      <c r="N1135">
        <v>6.43</v>
      </c>
    </row>
    <row r="1136" spans="1:14" x14ac:dyDescent="0.25">
      <c r="A1136" t="s">
        <v>70</v>
      </c>
      <c r="B1136" s="11" t="s">
        <v>68</v>
      </c>
      <c r="C1136" t="s">
        <v>121</v>
      </c>
      <c r="D1136">
        <v>49.1</v>
      </c>
      <c r="E1136">
        <f t="shared" si="37"/>
        <v>49.1</v>
      </c>
      <c r="F1136" t="s">
        <v>42</v>
      </c>
      <c r="G1136" t="s">
        <v>42</v>
      </c>
      <c r="H1136" t="s">
        <v>42</v>
      </c>
      <c r="I1136" t="s">
        <v>42</v>
      </c>
      <c r="J1136" t="s">
        <v>42</v>
      </c>
      <c r="K1136" t="s">
        <v>42</v>
      </c>
      <c r="L1136" t="s">
        <v>42</v>
      </c>
      <c r="M1136" t="s">
        <v>122</v>
      </c>
      <c r="N1136">
        <v>10.56</v>
      </c>
    </row>
    <row r="1137" spans="1:14" x14ac:dyDescent="0.25">
      <c r="A1137" t="s">
        <v>70</v>
      </c>
      <c r="B1137" s="11" t="s">
        <v>68</v>
      </c>
      <c r="C1137" t="s">
        <v>121</v>
      </c>
      <c r="D1137">
        <v>20.3</v>
      </c>
      <c r="E1137">
        <f t="shared" si="37"/>
        <v>20.3</v>
      </c>
      <c r="F1137" t="s">
        <v>42</v>
      </c>
      <c r="G1137" t="s">
        <v>42</v>
      </c>
      <c r="H1137" t="s">
        <v>42</v>
      </c>
      <c r="I1137" t="s">
        <v>42</v>
      </c>
      <c r="J1137" t="s">
        <v>42</v>
      </c>
      <c r="K1137" t="s">
        <v>42</v>
      </c>
      <c r="L1137" t="s">
        <v>42</v>
      </c>
      <c r="M1137" t="s">
        <v>122</v>
      </c>
      <c r="N1137">
        <v>13.41</v>
      </c>
    </row>
    <row r="1138" spans="1:14" x14ac:dyDescent="0.25">
      <c r="A1138" t="s">
        <v>70</v>
      </c>
      <c r="B1138" s="11" t="s">
        <v>68</v>
      </c>
      <c r="C1138" t="s">
        <v>121</v>
      </c>
      <c r="D1138">
        <v>16.5</v>
      </c>
      <c r="E1138">
        <f t="shared" si="37"/>
        <v>16.5</v>
      </c>
      <c r="F1138" t="s">
        <v>42</v>
      </c>
      <c r="G1138" t="s">
        <v>42</v>
      </c>
      <c r="H1138" t="s">
        <v>42</v>
      </c>
      <c r="I1138" t="s">
        <v>42</v>
      </c>
      <c r="J1138" t="s">
        <v>42</v>
      </c>
      <c r="K1138" t="s">
        <v>42</v>
      </c>
      <c r="L1138" t="s">
        <v>42</v>
      </c>
      <c r="M1138" t="s">
        <v>122</v>
      </c>
      <c r="N1138">
        <v>13.59</v>
      </c>
    </row>
    <row r="1139" spans="1:14" x14ac:dyDescent="0.25">
      <c r="A1139" t="s">
        <v>70</v>
      </c>
      <c r="B1139" s="11" t="s">
        <v>68</v>
      </c>
      <c r="C1139" t="s">
        <v>121</v>
      </c>
      <c r="D1139">
        <v>36.299999999999997</v>
      </c>
      <c r="E1139">
        <f t="shared" si="37"/>
        <v>36.299999999999997</v>
      </c>
      <c r="F1139" t="s">
        <v>42</v>
      </c>
      <c r="G1139" t="s">
        <v>42</v>
      </c>
      <c r="H1139" t="s">
        <v>42</v>
      </c>
      <c r="I1139" t="s">
        <v>42</v>
      </c>
      <c r="J1139" t="s">
        <v>42</v>
      </c>
      <c r="K1139" t="s">
        <v>42</v>
      </c>
      <c r="L1139" t="s">
        <v>42</v>
      </c>
      <c r="M1139" t="s">
        <v>122</v>
      </c>
      <c r="N1139">
        <v>10.38</v>
      </c>
    </row>
    <row r="1140" spans="1:14" x14ac:dyDescent="0.25">
      <c r="A1140" t="s">
        <v>70</v>
      </c>
      <c r="B1140" s="11" t="s">
        <v>68</v>
      </c>
      <c r="C1140" t="s">
        <v>121</v>
      </c>
      <c r="D1140">
        <v>16.100000000000001</v>
      </c>
      <c r="E1140">
        <f t="shared" si="37"/>
        <v>16.100000000000001</v>
      </c>
      <c r="F1140" t="s">
        <v>42</v>
      </c>
      <c r="G1140" t="s">
        <v>42</v>
      </c>
      <c r="H1140" t="s">
        <v>42</v>
      </c>
      <c r="I1140" t="s">
        <v>42</v>
      </c>
      <c r="J1140" t="s">
        <v>42</v>
      </c>
      <c r="K1140" t="s">
        <v>42</v>
      </c>
      <c r="L1140" t="s">
        <v>42</v>
      </c>
      <c r="M1140" t="s">
        <v>122</v>
      </c>
      <c r="N1140">
        <v>2.57</v>
      </c>
    </row>
    <row r="1141" spans="1:14" x14ac:dyDescent="0.25">
      <c r="A1141" t="s">
        <v>72</v>
      </c>
      <c r="B1141" s="11" t="s">
        <v>68</v>
      </c>
      <c r="C1141" t="s">
        <v>121</v>
      </c>
      <c r="D1141">
        <v>18.7</v>
      </c>
      <c r="E1141">
        <f t="shared" si="37"/>
        <v>18.7</v>
      </c>
      <c r="F1141" t="s">
        <v>42</v>
      </c>
      <c r="G1141" t="s">
        <v>42</v>
      </c>
      <c r="H1141" t="s">
        <v>42</v>
      </c>
      <c r="I1141" t="s">
        <v>42</v>
      </c>
      <c r="J1141" t="s">
        <v>42</v>
      </c>
      <c r="K1141" t="s">
        <v>42</v>
      </c>
      <c r="L1141" t="s">
        <v>42</v>
      </c>
      <c r="M1141" t="s">
        <v>122</v>
      </c>
      <c r="N1141">
        <v>6.55</v>
      </c>
    </row>
    <row r="1142" spans="1:14" x14ac:dyDescent="0.25">
      <c r="A1142" t="s">
        <v>72</v>
      </c>
      <c r="B1142" s="11" t="s">
        <v>68</v>
      </c>
      <c r="C1142" t="s">
        <v>121</v>
      </c>
      <c r="D1142">
        <v>19.5</v>
      </c>
      <c r="E1142">
        <f t="shared" si="37"/>
        <v>19.5</v>
      </c>
      <c r="F1142" t="s">
        <v>42</v>
      </c>
      <c r="G1142" t="s">
        <v>42</v>
      </c>
      <c r="H1142" t="s">
        <v>42</v>
      </c>
      <c r="I1142" t="s">
        <v>42</v>
      </c>
      <c r="J1142" t="s">
        <v>42</v>
      </c>
      <c r="K1142" t="s">
        <v>42</v>
      </c>
      <c r="L1142" t="s">
        <v>42</v>
      </c>
      <c r="M1142" t="s">
        <v>122</v>
      </c>
      <c r="N1142">
        <v>0.49</v>
      </c>
    </row>
    <row r="1143" spans="1:14" x14ac:dyDescent="0.25">
      <c r="A1143" t="s">
        <v>72</v>
      </c>
      <c r="B1143" s="11" t="s">
        <v>68</v>
      </c>
      <c r="C1143" t="s">
        <v>121</v>
      </c>
      <c r="D1143">
        <v>19.5</v>
      </c>
      <c r="E1143">
        <f t="shared" si="37"/>
        <v>19.5</v>
      </c>
      <c r="F1143" t="s">
        <v>42</v>
      </c>
      <c r="G1143" t="s">
        <v>42</v>
      </c>
      <c r="H1143" t="s">
        <v>42</v>
      </c>
      <c r="I1143" t="s">
        <v>42</v>
      </c>
      <c r="J1143" t="s">
        <v>42</v>
      </c>
      <c r="K1143" t="s">
        <v>42</v>
      </c>
      <c r="L1143" t="s">
        <v>42</v>
      </c>
      <c r="M1143" t="s">
        <v>122</v>
      </c>
      <c r="N1143">
        <v>5.43</v>
      </c>
    </row>
    <row r="1144" spans="1:14" x14ac:dyDescent="0.25">
      <c r="A1144" t="s">
        <v>72</v>
      </c>
      <c r="B1144" s="11" t="s">
        <v>68</v>
      </c>
      <c r="C1144" t="s">
        <v>121</v>
      </c>
      <c r="D1144">
        <v>10.8</v>
      </c>
      <c r="E1144">
        <f t="shared" si="37"/>
        <v>10.8</v>
      </c>
      <c r="F1144" t="s">
        <v>42</v>
      </c>
      <c r="G1144" t="s">
        <v>42</v>
      </c>
      <c r="H1144" t="s">
        <v>42</v>
      </c>
      <c r="I1144" t="s">
        <v>42</v>
      </c>
      <c r="J1144" t="s">
        <v>42</v>
      </c>
      <c r="K1144" t="s">
        <v>42</v>
      </c>
      <c r="L1144" t="s">
        <v>42</v>
      </c>
      <c r="M1144" t="s">
        <v>122</v>
      </c>
      <c r="N1144">
        <v>5.63</v>
      </c>
    </row>
    <row r="1145" spans="1:14" x14ac:dyDescent="0.25">
      <c r="A1145" t="s">
        <v>72</v>
      </c>
      <c r="B1145" s="11" t="s">
        <v>68</v>
      </c>
      <c r="C1145" t="s">
        <v>121</v>
      </c>
      <c r="D1145">
        <v>21</v>
      </c>
      <c r="E1145">
        <f t="shared" si="37"/>
        <v>21</v>
      </c>
      <c r="F1145" t="s">
        <v>42</v>
      </c>
      <c r="G1145" t="s">
        <v>42</v>
      </c>
      <c r="H1145" t="s">
        <v>42</v>
      </c>
      <c r="I1145" t="s">
        <v>42</v>
      </c>
      <c r="J1145" t="s">
        <v>42</v>
      </c>
      <c r="K1145" t="s">
        <v>42</v>
      </c>
      <c r="L1145" t="s">
        <v>42</v>
      </c>
      <c r="M1145" t="s">
        <v>122</v>
      </c>
      <c r="N1145">
        <v>7.5</v>
      </c>
    </row>
    <row r="1146" spans="1:14" x14ac:dyDescent="0.25">
      <c r="A1146" t="s">
        <v>72</v>
      </c>
      <c r="B1146" s="11" t="s">
        <v>68</v>
      </c>
      <c r="C1146" t="s">
        <v>123</v>
      </c>
      <c r="D1146">
        <v>13</v>
      </c>
      <c r="E1146">
        <f t="shared" si="37"/>
        <v>13</v>
      </c>
      <c r="F1146" t="s">
        <v>42</v>
      </c>
      <c r="G1146" t="s">
        <v>42</v>
      </c>
      <c r="H1146" t="s">
        <v>42</v>
      </c>
      <c r="I1146" t="s">
        <v>42</v>
      </c>
      <c r="J1146" t="s">
        <v>42</v>
      </c>
      <c r="K1146" t="s">
        <v>42</v>
      </c>
      <c r="L1146" t="s">
        <v>42</v>
      </c>
      <c r="M1146" t="s">
        <v>122</v>
      </c>
      <c r="N1146">
        <v>8.74</v>
      </c>
    </row>
    <row r="1147" spans="1:14" x14ac:dyDescent="0.25">
      <c r="A1147" t="s">
        <v>72</v>
      </c>
      <c r="B1147" s="11" t="s">
        <v>68</v>
      </c>
      <c r="C1147" t="s">
        <v>121</v>
      </c>
      <c r="D1147">
        <v>8.1</v>
      </c>
      <c r="E1147">
        <f t="shared" si="37"/>
        <v>8.1</v>
      </c>
      <c r="F1147" t="s">
        <v>42</v>
      </c>
      <c r="G1147" t="s">
        <v>42</v>
      </c>
      <c r="H1147" t="s">
        <v>42</v>
      </c>
      <c r="I1147" t="s">
        <v>42</v>
      </c>
      <c r="J1147" t="s">
        <v>42</v>
      </c>
      <c r="K1147" t="s">
        <v>42</v>
      </c>
      <c r="L1147" t="s">
        <v>42</v>
      </c>
      <c r="M1147" t="s">
        <v>122</v>
      </c>
      <c r="N1147">
        <v>10.130000000000001</v>
      </c>
    </row>
    <row r="1148" spans="1:14" x14ac:dyDescent="0.25">
      <c r="A1148" t="s">
        <v>72</v>
      </c>
      <c r="B1148" s="11" t="s">
        <v>68</v>
      </c>
      <c r="C1148" t="s">
        <v>121</v>
      </c>
      <c r="D1148">
        <v>17.2</v>
      </c>
      <c r="E1148">
        <f t="shared" si="37"/>
        <v>17.2</v>
      </c>
      <c r="F1148" t="s">
        <v>42</v>
      </c>
      <c r="G1148" t="s">
        <v>42</v>
      </c>
      <c r="H1148" t="s">
        <v>42</v>
      </c>
      <c r="I1148" t="s">
        <v>42</v>
      </c>
      <c r="J1148" t="s">
        <v>42</v>
      </c>
      <c r="K1148" t="s">
        <v>42</v>
      </c>
      <c r="L1148" t="s">
        <v>42</v>
      </c>
      <c r="M1148" t="s">
        <v>122</v>
      </c>
      <c r="N1148">
        <v>11.28</v>
      </c>
    </row>
    <row r="1149" spans="1:14" x14ac:dyDescent="0.25">
      <c r="A1149" t="s">
        <v>72</v>
      </c>
      <c r="B1149" s="11" t="s">
        <v>68</v>
      </c>
      <c r="C1149" t="s">
        <v>121</v>
      </c>
      <c r="D1149">
        <v>17.3</v>
      </c>
      <c r="E1149">
        <f t="shared" si="37"/>
        <v>17.3</v>
      </c>
      <c r="F1149" t="s">
        <v>42</v>
      </c>
      <c r="G1149" t="s">
        <v>42</v>
      </c>
      <c r="H1149" t="s">
        <v>42</v>
      </c>
      <c r="I1149" t="s">
        <v>42</v>
      </c>
      <c r="J1149" t="s">
        <v>42</v>
      </c>
      <c r="K1149" t="s">
        <v>42</v>
      </c>
      <c r="L1149" t="s">
        <v>42</v>
      </c>
      <c r="M1149" t="s">
        <v>122</v>
      </c>
      <c r="N1149">
        <v>13.38</v>
      </c>
    </row>
    <row r="1150" spans="1:14" x14ac:dyDescent="0.25">
      <c r="A1150" t="s">
        <v>72</v>
      </c>
      <c r="B1150" s="11" t="s">
        <v>68</v>
      </c>
      <c r="C1150" t="s">
        <v>121</v>
      </c>
      <c r="D1150">
        <f>13.7+7.9</f>
        <v>21.6</v>
      </c>
      <c r="E1150">
        <v>13.7</v>
      </c>
      <c r="F1150">
        <v>7.9</v>
      </c>
      <c r="G1150" t="s">
        <v>42</v>
      </c>
      <c r="H1150" t="s">
        <v>42</v>
      </c>
      <c r="I1150" t="s">
        <v>42</v>
      </c>
      <c r="J1150" t="s">
        <v>42</v>
      </c>
      <c r="K1150" t="s">
        <v>42</v>
      </c>
      <c r="L1150" t="s">
        <v>42</v>
      </c>
      <c r="M1150" t="s">
        <v>124</v>
      </c>
      <c r="N1150">
        <v>14.49</v>
      </c>
    </row>
    <row r="1151" spans="1:14" x14ac:dyDescent="0.25">
      <c r="A1151" t="s">
        <v>72</v>
      </c>
      <c r="B1151" s="11" t="s">
        <v>68</v>
      </c>
      <c r="C1151" t="s">
        <v>121</v>
      </c>
      <c r="D1151">
        <v>10.6</v>
      </c>
      <c r="E1151">
        <f t="shared" ref="E1151:E1154" si="38">D1151</f>
        <v>10.6</v>
      </c>
      <c r="F1151" t="s">
        <v>42</v>
      </c>
      <c r="G1151" t="s">
        <v>42</v>
      </c>
      <c r="H1151" t="s">
        <v>42</v>
      </c>
      <c r="I1151" t="s">
        <v>42</v>
      </c>
      <c r="J1151" t="s">
        <v>42</v>
      </c>
      <c r="K1151" t="s">
        <v>42</v>
      </c>
      <c r="L1151" t="s">
        <v>42</v>
      </c>
      <c r="M1151" t="s">
        <v>122</v>
      </c>
      <c r="N1151">
        <v>14.07</v>
      </c>
    </row>
    <row r="1152" spans="1:14" x14ac:dyDescent="0.25">
      <c r="A1152" t="s">
        <v>72</v>
      </c>
      <c r="B1152" s="11" t="s">
        <v>68</v>
      </c>
      <c r="C1152" t="s">
        <v>121</v>
      </c>
      <c r="D1152">
        <v>17.7</v>
      </c>
      <c r="E1152">
        <f t="shared" si="38"/>
        <v>17.7</v>
      </c>
      <c r="F1152" t="s">
        <v>42</v>
      </c>
      <c r="G1152" t="s">
        <v>42</v>
      </c>
      <c r="H1152" t="s">
        <v>42</v>
      </c>
      <c r="I1152" t="s">
        <v>42</v>
      </c>
      <c r="J1152" t="s">
        <v>42</v>
      </c>
      <c r="K1152" t="s">
        <v>42</v>
      </c>
      <c r="L1152" t="s">
        <v>42</v>
      </c>
      <c r="M1152" t="s">
        <v>122</v>
      </c>
      <c r="N1152">
        <v>13.77</v>
      </c>
    </row>
    <row r="1153" spans="1:14" x14ac:dyDescent="0.25">
      <c r="A1153" t="s">
        <v>72</v>
      </c>
      <c r="B1153" s="11" t="s">
        <v>68</v>
      </c>
      <c r="C1153" t="s">
        <v>123</v>
      </c>
      <c r="D1153">
        <v>14.3</v>
      </c>
      <c r="E1153">
        <f t="shared" si="38"/>
        <v>14.3</v>
      </c>
      <c r="F1153" t="s">
        <v>42</v>
      </c>
      <c r="G1153" t="s">
        <v>42</v>
      </c>
      <c r="H1153" t="s">
        <v>42</v>
      </c>
      <c r="I1153" t="s">
        <v>42</v>
      </c>
      <c r="J1153" t="s">
        <v>42</v>
      </c>
      <c r="K1153" t="s">
        <v>42</v>
      </c>
      <c r="L1153" t="s">
        <v>42</v>
      </c>
      <c r="M1153" t="s">
        <v>122</v>
      </c>
      <c r="N1153">
        <v>9.07</v>
      </c>
    </row>
    <row r="1154" spans="1:14" x14ac:dyDescent="0.25">
      <c r="A1154" t="s">
        <v>72</v>
      </c>
      <c r="B1154" s="11" t="s">
        <v>68</v>
      </c>
      <c r="C1154" t="s">
        <v>121</v>
      </c>
      <c r="D1154">
        <v>18.2</v>
      </c>
      <c r="E1154">
        <f t="shared" si="38"/>
        <v>18.2</v>
      </c>
      <c r="F1154" t="s">
        <v>42</v>
      </c>
      <c r="G1154" t="s">
        <v>42</v>
      </c>
      <c r="H1154" t="s">
        <v>42</v>
      </c>
      <c r="I1154" t="s">
        <v>42</v>
      </c>
      <c r="J1154" t="s">
        <v>42</v>
      </c>
      <c r="K1154" t="s">
        <v>42</v>
      </c>
      <c r="L1154" t="s">
        <v>42</v>
      </c>
      <c r="M1154" t="s">
        <v>122</v>
      </c>
      <c r="N1154">
        <v>6.66</v>
      </c>
    </row>
    <row r="1155" spans="1:14" x14ac:dyDescent="0.25">
      <c r="A1155" t="s">
        <v>72</v>
      </c>
      <c r="B1155" s="11" t="s">
        <v>68</v>
      </c>
      <c r="C1155" t="s">
        <v>121</v>
      </c>
      <c r="D1155">
        <f>19.6+10.9</f>
        <v>30.5</v>
      </c>
      <c r="E1155">
        <v>19.600000000000001</v>
      </c>
      <c r="F1155">
        <v>10.9</v>
      </c>
      <c r="G1155" t="s">
        <v>42</v>
      </c>
      <c r="H1155" t="s">
        <v>42</v>
      </c>
      <c r="I1155" t="s">
        <v>42</v>
      </c>
      <c r="J1155" t="s">
        <v>42</v>
      </c>
      <c r="K1155" t="s">
        <v>42</v>
      </c>
      <c r="L1155" t="s">
        <v>42</v>
      </c>
      <c r="M1155" t="s">
        <v>124</v>
      </c>
      <c r="N1155">
        <v>5.47</v>
      </c>
    </row>
    <row r="1156" spans="1:14" x14ac:dyDescent="0.25">
      <c r="A1156" t="s">
        <v>72</v>
      </c>
      <c r="B1156" s="11" t="s">
        <v>68</v>
      </c>
      <c r="C1156" t="s">
        <v>121</v>
      </c>
      <c r="D1156">
        <v>16</v>
      </c>
      <c r="E1156">
        <f t="shared" ref="E1156:E1160" si="39">D1156</f>
        <v>16</v>
      </c>
      <c r="F1156" t="s">
        <v>42</v>
      </c>
      <c r="G1156" t="s">
        <v>42</v>
      </c>
      <c r="H1156" t="s">
        <v>42</v>
      </c>
      <c r="I1156" t="s">
        <v>42</v>
      </c>
      <c r="J1156" t="s">
        <v>42</v>
      </c>
      <c r="K1156" t="s">
        <v>42</v>
      </c>
      <c r="L1156" t="s">
        <v>42</v>
      </c>
      <c r="M1156" t="s">
        <v>122</v>
      </c>
      <c r="N1156">
        <v>10.45</v>
      </c>
    </row>
    <row r="1157" spans="1:14" x14ac:dyDescent="0.25">
      <c r="A1157" t="s">
        <v>72</v>
      </c>
      <c r="B1157" s="11" t="s">
        <v>68</v>
      </c>
      <c r="C1157" t="s">
        <v>121</v>
      </c>
      <c r="D1157">
        <v>13.8</v>
      </c>
      <c r="E1157">
        <f t="shared" si="39"/>
        <v>13.8</v>
      </c>
      <c r="F1157" t="s">
        <v>42</v>
      </c>
      <c r="G1157" t="s">
        <v>42</v>
      </c>
      <c r="H1157" t="s">
        <v>42</v>
      </c>
      <c r="I1157" t="s">
        <v>42</v>
      </c>
      <c r="J1157" t="s">
        <v>42</v>
      </c>
      <c r="K1157" t="s">
        <v>42</v>
      </c>
      <c r="L1157" t="s">
        <v>42</v>
      </c>
      <c r="M1157" t="s">
        <v>122</v>
      </c>
      <c r="N1157">
        <v>11.97</v>
      </c>
    </row>
    <row r="1158" spans="1:14" x14ac:dyDescent="0.25">
      <c r="A1158" t="s">
        <v>72</v>
      </c>
      <c r="B1158" s="11" t="s">
        <v>68</v>
      </c>
      <c r="C1158" t="s">
        <v>121</v>
      </c>
      <c r="D1158">
        <v>17.7</v>
      </c>
      <c r="E1158">
        <f t="shared" si="39"/>
        <v>17.7</v>
      </c>
      <c r="F1158" t="s">
        <v>42</v>
      </c>
      <c r="G1158" t="s">
        <v>42</v>
      </c>
      <c r="H1158" t="s">
        <v>42</v>
      </c>
      <c r="I1158" t="s">
        <v>42</v>
      </c>
      <c r="J1158" t="s">
        <v>42</v>
      </c>
      <c r="K1158" t="s">
        <v>42</v>
      </c>
      <c r="L1158" t="s">
        <v>42</v>
      </c>
      <c r="M1158" t="s">
        <v>122</v>
      </c>
      <c r="N1158">
        <v>12.55</v>
      </c>
    </row>
    <row r="1159" spans="1:14" x14ac:dyDescent="0.25">
      <c r="A1159" t="s">
        <v>72</v>
      </c>
      <c r="B1159" s="11" t="s">
        <v>68</v>
      </c>
      <c r="C1159" t="s">
        <v>121</v>
      </c>
      <c r="D1159">
        <v>16.600000000000001</v>
      </c>
      <c r="E1159">
        <f t="shared" si="39"/>
        <v>16.600000000000001</v>
      </c>
      <c r="F1159" t="s">
        <v>42</v>
      </c>
      <c r="G1159" t="s">
        <v>42</v>
      </c>
      <c r="H1159" t="s">
        <v>42</v>
      </c>
      <c r="I1159" t="s">
        <v>42</v>
      </c>
      <c r="J1159" t="s">
        <v>42</v>
      </c>
      <c r="K1159" t="s">
        <v>42</v>
      </c>
      <c r="L1159" t="s">
        <v>42</v>
      </c>
      <c r="M1159" t="s">
        <v>122</v>
      </c>
      <c r="N1159">
        <v>9.0399999999999991</v>
      </c>
    </row>
    <row r="1160" spans="1:14" x14ac:dyDescent="0.25">
      <c r="A1160" t="s">
        <v>72</v>
      </c>
      <c r="B1160" s="11" t="s">
        <v>68</v>
      </c>
      <c r="C1160" t="s">
        <v>121</v>
      </c>
      <c r="D1160">
        <v>8.6</v>
      </c>
      <c r="E1160">
        <f t="shared" si="39"/>
        <v>8.6</v>
      </c>
      <c r="F1160" t="s">
        <v>42</v>
      </c>
      <c r="G1160" t="s">
        <v>42</v>
      </c>
      <c r="H1160" t="s">
        <v>42</v>
      </c>
      <c r="I1160" t="s">
        <v>42</v>
      </c>
      <c r="J1160" t="s">
        <v>42</v>
      </c>
      <c r="K1160" t="s">
        <v>42</v>
      </c>
      <c r="L1160" t="s">
        <v>42</v>
      </c>
      <c r="M1160" t="s">
        <v>122</v>
      </c>
      <c r="N1160">
        <v>5.13</v>
      </c>
    </row>
    <row r="1161" spans="1:14" x14ac:dyDescent="0.25">
      <c r="A1161" t="s">
        <v>72</v>
      </c>
      <c r="B1161" s="11" t="s">
        <v>68</v>
      </c>
      <c r="C1161" t="s">
        <v>121</v>
      </c>
      <c r="D1161">
        <f>20+12.3</f>
        <v>32.299999999999997</v>
      </c>
      <c r="E1161">
        <v>20</v>
      </c>
      <c r="F1161">
        <v>12.3</v>
      </c>
      <c r="G1161" t="s">
        <v>42</v>
      </c>
      <c r="H1161" t="s">
        <v>42</v>
      </c>
      <c r="I1161" t="s">
        <v>42</v>
      </c>
      <c r="J1161" t="s">
        <v>42</v>
      </c>
      <c r="K1161" t="s">
        <v>42</v>
      </c>
      <c r="L1161" t="s">
        <v>42</v>
      </c>
      <c r="M1161" t="s">
        <v>124</v>
      </c>
      <c r="N1161">
        <v>4.17</v>
      </c>
    </row>
    <row r="1162" spans="1:14" x14ac:dyDescent="0.25">
      <c r="A1162" t="s">
        <v>72</v>
      </c>
      <c r="B1162" s="11" t="s">
        <v>68</v>
      </c>
      <c r="C1162" t="s">
        <v>121</v>
      </c>
      <c r="D1162">
        <v>13.7</v>
      </c>
      <c r="E1162">
        <f t="shared" ref="E1162:E1164" si="40">D1162</f>
        <v>13.7</v>
      </c>
      <c r="F1162" t="s">
        <v>42</v>
      </c>
      <c r="G1162" t="s">
        <v>42</v>
      </c>
      <c r="H1162" t="s">
        <v>42</v>
      </c>
      <c r="I1162" t="s">
        <v>42</v>
      </c>
      <c r="J1162" t="s">
        <v>42</v>
      </c>
      <c r="K1162" t="s">
        <v>42</v>
      </c>
      <c r="L1162" t="s">
        <v>42</v>
      </c>
      <c r="M1162" t="s">
        <v>122</v>
      </c>
      <c r="N1162">
        <v>5.38</v>
      </c>
    </row>
    <row r="1163" spans="1:14" x14ac:dyDescent="0.25">
      <c r="A1163" t="s">
        <v>72</v>
      </c>
      <c r="B1163" s="11" t="s">
        <v>68</v>
      </c>
      <c r="C1163" t="s">
        <v>121</v>
      </c>
      <c r="D1163">
        <v>13</v>
      </c>
      <c r="E1163">
        <f t="shared" si="40"/>
        <v>13</v>
      </c>
      <c r="F1163" t="s">
        <v>42</v>
      </c>
      <c r="G1163" t="s">
        <v>42</v>
      </c>
      <c r="H1163" t="s">
        <v>42</v>
      </c>
      <c r="I1163" t="s">
        <v>42</v>
      </c>
      <c r="J1163" t="s">
        <v>42</v>
      </c>
      <c r="K1163" t="s">
        <v>42</v>
      </c>
      <c r="L1163" t="s">
        <v>42</v>
      </c>
      <c r="M1163" t="s">
        <v>122</v>
      </c>
      <c r="N1163">
        <v>8.8000000000000007</v>
      </c>
    </row>
    <row r="1164" spans="1:14" x14ac:dyDescent="0.25">
      <c r="A1164" t="s">
        <v>72</v>
      </c>
      <c r="B1164" s="11" t="s">
        <v>68</v>
      </c>
      <c r="C1164" t="s">
        <v>121</v>
      </c>
      <c r="D1164">
        <v>8.6999999999999993</v>
      </c>
      <c r="E1164">
        <f t="shared" si="40"/>
        <v>8.6999999999999993</v>
      </c>
      <c r="F1164" t="s">
        <v>42</v>
      </c>
      <c r="G1164" t="s">
        <v>42</v>
      </c>
      <c r="H1164" t="s">
        <v>42</v>
      </c>
      <c r="I1164" t="s">
        <v>42</v>
      </c>
      <c r="J1164" t="s">
        <v>42</v>
      </c>
      <c r="K1164" t="s">
        <v>42</v>
      </c>
      <c r="L1164" t="s">
        <v>42</v>
      </c>
      <c r="M1164" t="s">
        <v>122</v>
      </c>
      <c r="N1164">
        <v>10.39</v>
      </c>
    </row>
    <row r="1165" spans="1:14" x14ac:dyDescent="0.25">
      <c r="A1165" t="s">
        <v>72</v>
      </c>
      <c r="B1165" s="11" t="s">
        <v>68</v>
      </c>
      <c r="C1165" t="s">
        <v>121</v>
      </c>
      <c r="D1165">
        <f>14.3+12.8</f>
        <v>27.1</v>
      </c>
      <c r="E1165">
        <v>14.3</v>
      </c>
      <c r="F1165">
        <v>12.8</v>
      </c>
      <c r="G1165" t="s">
        <v>42</v>
      </c>
      <c r="H1165" t="s">
        <v>42</v>
      </c>
      <c r="I1165" t="s">
        <v>42</v>
      </c>
      <c r="J1165" t="s">
        <v>42</v>
      </c>
      <c r="K1165" t="s">
        <v>42</v>
      </c>
      <c r="L1165" t="s">
        <v>42</v>
      </c>
      <c r="M1165" t="s">
        <v>124</v>
      </c>
      <c r="N1165">
        <v>12.56</v>
      </c>
    </row>
    <row r="1166" spans="1:14" x14ac:dyDescent="0.25">
      <c r="A1166" t="s">
        <v>72</v>
      </c>
      <c r="B1166" s="11" t="s">
        <v>68</v>
      </c>
      <c r="C1166" t="s">
        <v>121</v>
      </c>
      <c r="D1166">
        <v>22.4</v>
      </c>
      <c r="E1166">
        <f t="shared" ref="E1166:E1189" si="41">D1166</f>
        <v>22.4</v>
      </c>
      <c r="F1166" t="s">
        <v>42</v>
      </c>
      <c r="G1166" t="s">
        <v>42</v>
      </c>
      <c r="H1166" t="s">
        <v>42</v>
      </c>
      <c r="I1166" t="s">
        <v>42</v>
      </c>
      <c r="J1166" t="s">
        <v>42</v>
      </c>
      <c r="K1166" t="s">
        <v>42</v>
      </c>
      <c r="L1166" t="s">
        <v>42</v>
      </c>
      <c r="M1166" t="s">
        <v>122</v>
      </c>
      <c r="N1166">
        <v>11.97</v>
      </c>
    </row>
    <row r="1167" spans="1:14" x14ac:dyDescent="0.25">
      <c r="A1167" t="s">
        <v>72</v>
      </c>
      <c r="B1167" s="11" t="s">
        <v>68</v>
      </c>
      <c r="C1167" t="s">
        <v>123</v>
      </c>
      <c r="D1167">
        <v>19.2</v>
      </c>
      <c r="E1167">
        <f t="shared" si="41"/>
        <v>19.2</v>
      </c>
      <c r="F1167" t="s">
        <v>42</v>
      </c>
      <c r="G1167" t="s">
        <v>42</v>
      </c>
      <c r="H1167" t="s">
        <v>42</v>
      </c>
      <c r="I1167" t="s">
        <v>42</v>
      </c>
      <c r="J1167" t="s">
        <v>42</v>
      </c>
      <c r="K1167" t="s">
        <v>42</v>
      </c>
      <c r="L1167" t="s">
        <v>42</v>
      </c>
      <c r="M1167" t="s">
        <v>122</v>
      </c>
      <c r="N1167">
        <v>10.45</v>
      </c>
    </row>
    <row r="1168" spans="1:14" x14ac:dyDescent="0.25">
      <c r="A1168" t="s">
        <v>72</v>
      </c>
      <c r="B1168" s="11" t="s">
        <v>68</v>
      </c>
      <c r="C1168" t="s">
        <v>121</v>
      </c>
      <c r="D1168">
        <v>22.5</v>
      </c>
      <c r="E1168">
        <f t="shared" si="41"/>
        <v>22.5</v>
      </c>
      <c r="F1168" t="s">
        <v>42</v>
      </c>
      <c r="G1168" t="s">
        <v>42</v>
      </c>
      <c r="H1168" t="s">
        <v>42</v>
      </c>
      <c r="I1168" t="s">
        <v>42</v>
      </c>
      <c r="J1168" t="s">
        <v>42</v>
      </c>
      <c r="K1168" t="s">
        <v>42</v>
      </c>
      <c r="L1168" t="s">
        <v>42</v>
      </c>
      <c r="M1168" t="s">
        <v>122</v>
      </c>
      <c r="N1168">
        <v>11.33</v>
      </c>
    </row>
    <row r="1169" spans="1:14" x14ac:dyDescent="0.25">
      <c r="A1169" t="s">
        <v>72</v>
      </c>
      <c r="B1169" s="11" t="s">
        <v>68</v>
      </c>
      <c r="C1169" t="s">
        <v>121</v>
      </c>
      <c r="D1169">
        <v>22</v>
      </c>
      <c r="E1169">
        <f t="shared" si="41"/>
        <v>22</v>
      </c>
      <c r="F1169" t="s">
        <v>42</v>
      </c>
      <c r="G1169" t="s">
        <v>42</v>
      </c>
      <c r="H1169" t="s">
        <v>42</v>
      </c>
      <c r="I1169" t="s">
        <v>42</v>
      </c>
      <c r="J1169" t="s">
        <v>42</v>
      </c>
      <c r="K1169" t="s">
        <v>42</v>
      </c>
      <c r="L1169" t="s">
        <v>42</v>
      </c>
      <c r="M1169" t="s">
        <v>122</v>
      </c>
      <c r="N1169">
        <v>11.66</v>
      </c>
    </row>
    <row r="1170" spans="1:14" x14ac:dyDescent="0.25">
      <c r="A1170" t="s">
        <v>72</v>
      </c>
      <c r="B1170" s="11" t="s">
        <v>68</v>
      </c>
      <c r="C1170" t="s">
        <v>123</v>
      </c>
      <c r="D1170">
        <v>13.3</v>
      </c>
      <c r="E1170">
        <f t="shared" si="41"/>
        <v>13.3</v>
      </c>
      <c r="F1170" t="s">
        <v>42</v>
      </c>
      <c r="G1170" t="s">
        <v>42</v>
      </c>
      <c r="H1170" t="s">
        <v>42</v>
      </c>
      <c r="I1170" t="s">
        <v>42</v>
      </c>
      <c r="J1170" t="s">
        <v>42</v>
      </c>
      <c r="K1170" t="s">
        <v>42</v>
      </c>
      <c r="L1170" t="s">
        <v>42</v>
      </c>
      <c r="M1170" t="s">
        <v>122</v>
      </c>
      <c r="N1170">
        <v>12.47</v>
      </c>
    </row>
    <row r="1171" spans="1:14" x14ac:dyDescent="0.25">
      <c r="A1171" t="s">
        <v>72</v>
      </c>
      <c r="B1171" s="11" t="s">
        <v>68</v>
      </c>
      <c r="C1171" t="s">
        <v>121</v>
      </c>
      <c r="D1171">
        <v>12.4</v>
      </c>
      <c r="E1171">
        <f t="shared" si="41"/>
        <v>12.4</v>
      </c>
      <c r="F1171" t="s">
        <v>42</v>
      </c>
      <c r="G1171" t="s">
        <v>42</v>
      </c>
      <c r="H1171" t="s">
        <v>42</v>
      </c>
      <c r="I1171" t="s">
        <v>42</v>
      </c>
      <c r="J1171" t="s">
        <v>42</v>
      </c>
      <c r="K1171" t="s">
        <v>42</v>
      </c>
      <c r="L1171" t="s">
        <v>42</v>
      </c>
      <c r="M1171" t="s">
        <v>122</v>
      </c>
      <c r="N1171">
        <v>12.96</v>
      </c>
    </row>
    <row r="1172" spans="1:14" x14ac:dyDescent="0.25">
      <c r="A1172" t="s">
        <v>72</v>
      </c>
      <c r="B1172" s="11" t="s">
        <v>68</v>
      </c>
      <c r="C1172" t="s">
        <v>123</v>
      </c>
      <c r="D1172">
        <v>22</v>
      </c>
      <c r="E1172">
        <f t="shared" si="41"/>
        <v>22</v>
      </c>
      <c r="F1172" t="s">
        <v>42</v>
      </c>
      <c r="G1172" t="s">
        <v>42</v>
      </c>
      <c r="H1172" t="s">
        <v>42</v>
      </c>
      <c r="I1172" t="s">
        <v>42</v>
      </c>
      <c r="J1172" t="s">
        <v>42</v>
      </c>
      <c r="K1172" t="s">
        <v>42</v>
      </c>
      <c r="L1172" t="s">
        <v>42</v>
      </c>
      <c r="M1172" t="s">
        <v>122</v>
      </c>
      <c r="N1172">
        <v>13.03</v>
      </c>
    </row>
    <row r="1173" spans="1:14" x14ac:dyDescent="0.25">
      <c r="A1173" t="s">
        <v>72</v>
      </c>
      <c r="B1173" s="11" t="s">
        <v>68</v>
      </c>
      <c r="C1173" t="s">
        <v>121</v>
      </c>
      <c r="D1173">
        <v>8.5</v>
      </c>
      <c r="E1173">
        <f t="shared" si="41"/>
        <v>8.5</v>
      </c>
      <c r="F1173" t="s">
        <v>42</v>
      </c>
      <c r="G1173" t="s">
        <v>42</v>
      </c>
      <c r="H1173" t="s">
        <v>42</v>
      </c>
      <c r="I1173" t="s">
        <v>42</v>
      </c>
      <c r="J1173" t="s">
        <v>42</v>
      </c>
      <c r="K1173" t="s">
        <v>42</v>
      </c>
      <c r="L1173" t="s">
        <v>42</v>
      </c>
      <c r="M1173" t="s">
        <v>122</v>
      </c>
      <c r="N1173">
        <v>13.99</v>
      </c>
    </row>
    <row r="1174" spans="1:14" x14ac:dyDescent="0.25">
      <c r="A1174" t="s">
        <v>72</v>
      </c>
      <c r="B1174" s="11" t="s">
        <v>68</v>
      </c>
      <c r="C1174" t="s">
        <v>121</v>
      </c>
      <c r="D1174">
        <v>12.1</v>
      </c>
      <c r="E1174">
        <f t="shared" si="41"/>
        <v>12.1</v>
      </c>
      <c r="F1174" t="s">
        <v>42</v>
      </c>
      <c r="G1174" t="s">
        <v>42</v>
      </c>
      <c r="H1174" t="s">
        <v>42</v>
      </c>
      <c r="I1174" t="s">
        <v>42</v>
      </c>
      <c r="J1174" t="s">
        <v>42</v>
      </c>
      <c r="K1174" t="s">
        <v>42</v>
      </c>
      <c r="L1174" t="s">
        <v>42</v>
      </c>
      <c r="M1174" t="s">
        <v>122</v>
      </c>
      <c r="N1174">
        <v>14.52</v>
      </c>
    </row>
    <row r="1175" spans="1:14" x14ac:dyDescent="0.25">
      <c r="A1175" t="s">
        <v>72</v>
      </c>
      <c r="B1175" s="11" t="s">
        <v>68</v>
      </c>
      <c r="C1175" t="s">
        <v>121</v>
      </c>
      <c r="D1175">
        <v>17</v>
      </c>
      <c r="E1175">
        <f t="shared" si="41"/>
        <v>17</v>
      </c>
      <c r="F1175" t="s">
        <v>42</v>
      </c>
      <c r="G1175" t="s">
        <v>42</v>
      </c>
      <c r="H1175" t="s">
        <v>42</v>
      </c>
      <c r="I1175" t="s">
        <v>42</v>
      </c>
      <c r="J1175" t="s">
        <v>42</v>
      </c>
      <c r="K1175" t="s">
        <v>42</v>
      </c>
      <c r="L1175" t="s">
        <v>42</v>
      </c>
      <c r="M1175" t="s">
        <v>122</v>
      </c>
      <c r="N1175">
        <v>11.83</v>
      </c>
    </row>
    <row r="1176" spans="1:14" x14ac:dyDescent="0.25">
      <c r="A1176" t="s">
        <v>72</v>
      </c>
      <c r="B1176" s="11" t="s">
        <v>68</v>
      </c>
      <c r="C1176" t="s">
        <v>121</v>
      </c>
      <c r="D1176">
        <v>13.1</v>
      </c>
      <c r="E1176">
        <f t="shared" si="41"/>
        <v>13.1</v>
      </c>
      <c r="F1176" t="s">
        <v>42</v>
      </c>
      <c r="G1176" t="s">
        <v>42</v>
      </c>
      <c r="H1176" t="s">
        <v>42</v>
      </c>
      <c r="I1176" t="s">
        <v>42</v>
      </c>
      <c r="J1176" t="s">
        <v>42</v>
      </c>
      <c r="K1176" t="s">
        <v>42</v>
      </c>
      <c r="L1176" t="s">
        <v>42</v>
      </c>
      <c r="M1176" t="s">
        <v>122</v>
      </c>
      <c r="N1176">
        <v>7.86</v>
      </c>
    </row>
    <row r="1177" spans="1:14" x14ac:dyDescent="0.25">
      <c r="A1177" t="s">
        <v>72</v>
      </c>
      <c r="B1177" s="11" t="s">
        <v>68</v>
      </c>
      <c r="C1177" t="s">
        <v>121</v>
      </c>
      <c r="D1177">
        <v>9.6</v>
      </c>
      <c r="E1177">
        <f t="shared" si="41"/>
        <v>9.6</v>
      </c>
      <c r="F1177" t="s">
        <v>42</v>
      </c>
      <c r="G1177" t="s">
        <v>42</v>
      </c>
      <c r="H1177" t="s">
        <v>42</v>
      </c>
      <c r="I1177" t="s">
        <v>42</v>
      </c>
      <c r="J1177" t="s">
        <v>42</v>
      </c>
      <c r="K1177" t="s">
        <v>42</v>
      </c>
      <c r="L1177" t="s">
        <v>42</v>
      </c>
      <c r="M1177" t="s">
        <v>122</v>
      </c>
      <c r="N1177">
        <v>6.17</v>
      </c>
    </row>
    <row r="1178" spans="1:14" x14ac:dyDescent="0.25">
      <c r="A1178" t="s">
        <v>72</v>
      </c>
      <c r="B1178" s="11" t="s">
        <v>68</v>
      </c>
      <c r="C1178" t="s">
        <v>123</v>
      </c>
      <c r="D1178">
        <v>24.5</v>
      </c>
      <c r="E1178">
        <f t="shared" si="41"/>
        <v>24.5</v>
      </c>
      <c r="F1178" t="s">
        <v>42</v>
      </c>
      <c r="G1178" t="s">
        <v>42</v>
      </c>
      <c r="H1178" t="s">
        <v>42</v>
      </c>
      <c r="I1178" t="s">
        <v>42</v>
      </c>
      <c r="J1178" t="s">
        <v>42</v>
      </c>
      <c r="K1178" t="s">
        <v>42</v>
      </c>
      <c r="L1178" t="s">
        <v>42</v>
      </c>
      <c r="M1178" t="s">
        <v>122</v>
      </c>
      <c r="N1178">
        <v>5.35</v>
      </c>
    </row>
    <row r="1179" spans="1:14" x14ac:dyDescent="0.25">
      <c r="A1179" t="s">
        <v>72</v>
      </c>
      <c r="B1179" s="11" t="s">
        <v>68</v>
      </c>
      <c r="C1179" t="s">
        <v>121</v>
      </c>
      <c r="D1179">
        <v>14.2</v>
      </c>
      <c r="E1179">
        <f t="shared" si="41"/>
        <v>14.2</v>
      </c>
      <c r="F1179" t="s">
        <v>42</v>
      </c>
      <c r="G1179" t="s">
        <v>42</v>
      </c>
      <c r="H1179" t="s">
        <v>42</v>
      </c>
      <c r="I1179" t="s">
        <v>42</v>
      </c>
      <c r="J1179" t="s">
        <v>42</v>
      </c>
      <c r="K1179" t="s">
        <v>42</v>
      </c>
      <c r="L1179" t="s">
        <v>42</v>
      </c>
      <c r="M1179" t="s">
        <v>122</v>
      </c>
      <c r="N1179">
        <v>4.8499999999999996</v>
      </c>
    </row>
    <row r="1180" spans="1:14" x14ac:dyDescent="0.25">
      <c r="A1180" t="s">
        <v>72</v>
      </c>
      <c r="B1180" s="11" t="s">
        <v>68</v>
      </c>
      <c r="C1180" t="s">
        <v>121</v>
      </c>
      <c r="D1180">
        <v>9.1999999999999993</v>
      </c>
      <c r="E1180">
        <f t="shared" si="41"/>
        <v>9.1999999999999993</v>
      </c>
      <c r="F1180" t="s">
        <v>42</v>
      </c>
      <c r="G1180" t="s">
        <v>42</v>
      </c>
      <c r="H1180" t="s">
        <v>42</v>
      </c>
      <c r="I1180" t="s">
        <v>42</v>
      </c>
      <c r="J1180" t="s">
        <v>42</v>
      </c>
      <c r="K1180" t="s">
        <v>42</v>
      </c>
      <c r="L1180" t="s">
        <v>42</v>
      </c>
      <c r="M1180" t="s">
        <v>122</v>
      </c>
      <c r="N1180">
        <v>3.58</v>
      </c>
    </row>
    <row r="1181" spans="1:14" x14ac:dyDescent="0.25">
      <c r="A1181" t="s">
        <v>72</v>
      </c>
      <c r="B1181" s="11" t="s">
        <v>68</v>
      </c>
      <c r="C1181" t="s">
        <v>121</v>
      </c>
      <c r="D1181">
        <v>12.3</v>
      </c>
      <c r="E1181">
        <f t="shared" si="41"/>
        <v>12.3</v>
      </c>
      <c r="F1181" t="s">
        <v>42</v>
      </c>
      <c r="G1181" t="s">
        <v>42</v>
      </c>
      <c r="H1181" t="s">
        <v>42</v>
      </c>
      <c r="I1181" t="s">
        <v>42</v>
      </c>
      <c r="J1181" t="s">
        <v>42</v>
      </c>
      <c r="K1181" t="s">
        <v>42</v>
      </c>
      <c r="L1181" t="s">
        <v>42</v>
      </c>
      <c r="M1181" t="s">
        <v>122</v>
      </c>
      <c r="N1181">
        <v>4.07</v>
      </c>
    </row>
    <row r="1182" spans="1:14" x14ac:dyDescent="0.25">
      <c r="A1182" t="s">
        <v>72</v>
      </c>
      <c r="B1182" s="11" t="s">
        <v>68</v>
      </c>
      <c r="C1182" t="s">
        <v>121</v>
      </c>
      <c r="D1182">
        <v>18.8</v>
      </c>
      <c r="E1182">
        <f t="shared" si="41"/>
        <v>18.8</v>
      </c>
      <c r="F1182" t="s">
        <v>42</v>
      </c>
      <c r="G1182" t="s">
        <v>42</v>
      </c>
      <c r="H1182" t="s">
        <v>42</v>
      </c>
      <c r="I1182" t="s">
        <v>42</v>
      </c>
      <c r="J1182" t="s">
        <v>42</v>
      </c>
      <c r="K1182" t="s">
        <v>42</v>
      </c>
      <c r="L1182" t="s">
        <v>42</v>
      </c>
      <c r="M1182" t="s">
        <v>122</v>
      </c>
      <c r="N1182">
        <v>6.97</v>
      </c>
    </row>
    <row r="1183" spans="1:14" x14ac:dyDescent="0.25">
      <c r="A1183" t="s">
        <v>72</v>
      </c>
      <c r="B1183" s="11" t="s">
        <v>68</v>
      </c>
      <c r="C1183" t="s">
        <v>121</v>
      </c>
      <c r="D1183">
        <v>20.8</v>
      </c>
      <c r="E1183">
        <f t="shared" si="41"/>
        <v>20.8</v>
      </c>
      <c r="F1183" t="s">
        <v>42</v>
      </c>
      <c r="G1183" t="s">
        <v>42</v>
      </c>
      <c r="H1183" t="s">
        <v>42</v>
      </c>
      <c r="I1183" t="s">
        <v>42</v>
      </c>
      <c r="J1183" t="s">
        <v>42</v>
      </c>
      <c r="K1183" t="s">
        <v>42</v>
      </c>
      <c r="L1183" t="s">
        <v>42</v>
      </c>
      <c r="M1183" t="s">
        <v>122</v>
      </c>
      <c r="N1183">
        <v>5.84</v>
      </c>
    </row>
    <row r="1184" spans="1:14" x14ac:dyDescent="0.25">
      <c r="A1184" t="s">
        <v>72</v>
      </c>
      <c r="B1184" s="11" t="s">
        <v>68</v>
      </c>
      <c r="C1184" t="s">
        <v>121</v>
      </c>
      <c r="D1184">
        <v>10</v>
      </c>
      <c r="E1184">
        <f t="shared" si="41"/>
        <v>10</v>
      </c>
      <c r="F1184" t="s">
        <v>42</v>
      </c>
      <c r="G1184" t="s">
        <v>42</v>
      </c>
      <c r="H1184" t="s">
        <v>42</v>
      </c>
      <c r="I1184" t="s">
        <v>42</v>
      </c>
      <c r="J1184" t="s">
        <v>42</v>
      </c>
      <c r="K1184" t="s">
        <v>42</v>
      </c>
      <c r="L1184" t="s">
        <v>42</v>
      </c>
      <c r="M1184" t="s">
        <v>122</v>
      </c>
      <c r="N1184">
        <v>4.34</v>
      </c>
    </row>
    <row r="1185" spans="1:15" x14ac:dyDescent="0.25">
      <c r="A1185" t="s">
        <v>76</v>
      </c>
      <c r="B1185" s="11" t="s">
        <v>68</v>
      </c>
      <c r="C1185" t="s">
        <v>121</v>
      </c>
      <c r="D1185">
        <v>53.8</v>
      </c>
      <c r="E1185">
        <f t="shared" si="41"/>
        <v>53.8</v>
      </c>
      <c r="F1185" t="s">
        <v>42</v>
      </c>
      <c r="G1185" t="s">
        <v>42</v>
      </c>
      <c r="H1185" t="s">
        <v>42</v>
      </c>
      <c r="I1185" t="s">
        <v>42</v>
      </c>
      <c r="J1185" t="s">
        <v>42</v>
      </c>
      <c r="K1185" t="s">
        <v>42</v>
      </c>
      <c r="L1185" t="s">
        <v>42</v>
      </c>
      <c r="M1185" t="s">
        <v>122</v>
      </c>
      <c r="N1185">
        <v>9.2799999999999994</v>
      </c>
    </row>
    <row r="1186" spans="1:15" x14ac:dyDescent="0.25">
      <c r="A1186" t="s">
        <v>76</v>
      </c>
      <c r="B1186" s="11" t="s">
        <v>68</v>
      </c>
      <c r="C1186" t="s">
        <v>121</v>
      </c>
      <c r="D1186">
        <v>73</v>
      </c>
      <c r="E1186">
        <f t="shared" si="41"/>
        <v>73</v>
      </c>
      <c r="F1186" t="s">
        <v>42</v>
      </c>
      <c r="G1186" t="s">
        <v>42</v>
      </c>
      <c r="H1186" t="s">
        <v>42</v>
      </c>
      <c r="I1186" t="s">
        <v>42</v>
      </c>
      <c r="J1186" t="s">
        <v>42</v>
      </c>
      <c r="K1186" t="s">
        <v>42</v>
      </c>
      <c r="L1186" t="s">
        <v>42</v>
      </c>
      <c r="M1186" t="s">
        <v>122</v>
      </c>
      <c r="N1186">
        <v>7.17</v>
      </c>
    </row>
    <row r="1187" spans="1:15" x14ac:dyDescent="0.25">
      <c r="A1187" t="s">
        <v>76</v>
      </c>
      <c r="B1187" s="11" t="s">
        <v>68</v>
      </c>
      <c r="C1187" t="s">
        <v>121</v>
      </c>
      <c r="D1187">
        <v>50.1</v>
      </c>
      <c r="E1187">
        <f t="shared" si="41"/>
        <v>50.1</v>
      </c>
      <c r="F1187" t="s">
        <v>42</v>
      </c>
      <c r="G1187" t="s">
        <v>42</v>
      </c>
      <c r="H1187" t="s">
        <v>42</v>
      </c>
      <c r="I1187" t="s">
        <v>42</v>
      </c>
      <c r="J1187" t="s">
        <v>42</v>
      </c>
      <c r="K1187" t="s">
        <v>42</v>
      </c>
      <c r="L1187" t="s">
        <v>42</v>
      </c>
      <c r="M1187" t="s">
        <v>122</v>
      </c>
      <c r="N1187">
        <v>12.48</v>
      </c>
    </row>
    <row r="1188" spans="1:15" x14ac:dyDescent="0.25">
      <c r="A1188" t="s">
        <v>76</v>
      </c>
      <c r="B1188" s="11" t="s">
        <v>68</v>
      </c>
      <c r="C1188" t="s">
        <v>121</v>
      </c>
      <c r="D1188">
        <v>60.2</v>
      </c>
      <c r="E1188">
        <f t="shared" si="41"/>
        <v>60.2</v>
      </c>
      <c r="F1188" t="s">
        <v>42</v>
      </c>
      <c r="G1188" t="s">
        <v>42</v>
      </c>
      <c r="H1188" t="s">
        <v>42</v>
      </c>
      <c r="I1188" t="s">
        <v>42</v>
      </c>
      <c r="J1188" t="s">
        <v>42</v>
      </c>
      <c r="K1188" t="s">
        <v>42</v>
      </c>
      <c r="L1188" t="s">
        <v>42</v>
      </c>
      <c r="M1188" t="s">
        <v>122</v>
      </c>
      <c r="N1188">
        <v>9.27</v>
      </c>
    </row>
    <row r="1189" spans="1:15" x14ac:dyDescent="0.25">
      <c r="A1189" t="s">
        <v>76</v>
      </c>
      <c r="B1189" s="11" t="s">
        <v>68</v>
      </c>
      <c r="C1189" t="s">
        <v>123</v>
      </c>
      <c r="D1189">
        <v>10.4</v>
      </c>
      <c r="E1189">
        <f t="shared" si="41"/>
        <v>10.4</v>
      </c>
      <c r="F1189" t="s">
        <v>42</v>
      </c>
      <c r="G1189" t="s">
        <v>42</v>
      </c>
      <c r="H1189" t="s">
        <v>42</v>
      </c>
      <c r="I1189" t="s">
        <v>42</v>
      </c>
      <c r="J1189" t="s">
        <v>42</v>
      </c>
      <c r="K1189" t="s">
        <v>42</v>
      </c>
      <c r="L1189" t="s">
        <v>42</v>
      </c>
      <c r="M1189" t="s">
        <v>122</v>
      </c>
      <c r="N1189">
        <v>9.26</v>
      </c>
    </row>
    <row r="1190" spans="1:15" x14ac:dyDescent="0.25">
      <c r="A1190" t="s">
        <v>76</v>
      </c>
      <c r="B1190" s="11" t="s">
        <v>68</v>
      </c>
      <c r="C1190" t="s">
        <v>121</v>
      </c>
      <c r="D1190">
        <f>76.39+21.3</f>
        <v>97.69</v>
      </c>
      <c r="E1190">
        <v>76.39</v>
      </c>
      <c r="F1190">
        <v>21.3</v>
      </c>
      <c r="G1190" t="s">
        <v>42</v>
      </c>
      <c r="H1190" t="s">
        <v>42</v>
      </c>
      <c r="I1190" t="s">
        <v>42</v>
      </c>
      <c r="J1190" t="s">
        <v>42</v>
      </c>
      <c r="K1190" t="s">
        <v>42</v>
      </c>
      <c r="L1190" t="s">
        <v>42</v>
      </c>
      <c r="M1190" t="s">
        <v>124</v>
      </c>
      <c r="N1190">
        <v>13.61</v>
      </c>
    </row>
    <row r="1191" spans="1:15" x14ac:dyDescent="0.25">
      <c r="A1191" t="s">
        <v>76</v>
      </c>
      <c r="B1191" s="11" t="s">
        <v>68</v>
      </c>
      <c r="C1191" t="s">
        <v>121</v>
      </c>
      <c r="D1191">
        <f>60.48+25+26</f>
        <v>111.47999999999999</v>
      </c>
      <c r="E1191">
        <v>60.48</v>
      </c>
      <c r="F1191">
        <v>25</v>
      </c>
      <c r="G1191">
        <v>26</v>
      </c>
      <c r="H1191" t="s">
        <v>42</v>
      </c>
      <c r="I1191" t="s">
        <v>42</v>
      </c>
      <c r="J1191" t="s">
        <v>42</v>
      </c>
      <c r="K1191" t="s">
        <v>42</v>
      </c>
      <c r="L1191" t="s">
        <v>42</v>
      </c>
      <c r="M1191" t="s">
        <v>125</v>
      </c>
      <c r="N1191">
        <v>9.77</v>
      </c>
      <c r="O1191">
        <f>190/PI()</f>
        <v>60.478878374920228</v>
      </c>
    </row>
    <row r="1192" spans="1:15" x14ac:dyDescent="0.25">
      <c r="A1192" t="s">
        <v>76</v>
      </c>
      <c r="B1192" s="11" t="s">
        <v>68</v>
      </c>
      <c r="C1192" t="s">
        <v>121</v>
      </c>
      <c r="D1192">
        <f>17.3+16.7+13.3+7.5</f>
        <v>54.8</v>
      </c>
      <c r="E1192">
        <v>17.3</v>
      </c>
      <c r="F1192">
        <v>16.7</v>
      </c>
      <c r="G1192">
        <v>13.3</v>
      </c>
      <c r="H1192">
        <v>7.5</v>
      </c>
      <c r="I1192" t="s">
        <v>42</v>
      </c>
      <c r="J1192" t="s">
        <v>42</v>
      </c>
      <c r="K1192" t="s">
        <v>42</v>
      </c>
      <c r="L1192" t="s">
        <v>42</v>
      </c>
      <c r="M1192" t="s">
        <v>132</v>
      </c>
      <c r="N1192">
        <v>14.67</v>
      </c>
    </row>
    <row r="1193" spans="1:15" x14ac:dyDescent="0.25">
      <c r="A1193" t="s">
        <v>78</v>
      </c>
      <c r="B1193" s="11" t="s">
        <v>133</v>
      </c>
      <c r="C1193" t="s">
        <v>121</v>
      </c>
      <c r="D1193">
        <v>40.9</v>
      </c>
      <c r="E1193">
        <f>D1193</f>
        <v>40.9</v>
      </c>
      <c r="F1193" t="s">
        <v>42</v>
      </c>
      <c r="G1193" t="s">
        <v>42</v>
      </c>
      <c r="H1193" t="s">
        <v>42</v>
      </c>
      <c r="I1193" t="s">
        <v>42</v>
      </c>
      <c r="J1193" t="s">
        <v>42</v>
      </c>
      <c r="K1193" t="s">
        <v>42</v>
      </c>
      <c r="L1193" t="s">
        <v>42</v>
      </c>
      <c r="M1193" t="s">
        <v>122</v>
      </c>
      <c r="N1193" t="s">
        <v>122</v>
      </c>
    </row>
    <row r="1194" spans="1:15" x14ac:dyDescent="0.25">
      <c r="A1194" t="s">
        <v>78</v>
      </c>
      <c r="B1194" s="11" t="s">
        <v>134</v>
      </c>
      <c r="C1194" t="s">
        <v>121</v>
      </c>
      <c r="D1194">
        <f>24.2+18+17.9</f>
        <v>60.1</v>
      </c>
      <c r="E1194">
        <v>24.2</v>
      </c>
      <c r="F1194">
        <v>18</v>
      </c>
      <c r="G1194">
        <v>17.899999999999999</v>
      </c>
      <c r="H1194" t="s">
        <v>42</v>
      </c>
      <c r="I1194" t="s">
        <v>42</v>
      </c>
      <c r="J1194" t="s">
        <v>42</v>
      </c>
      <c r="K1194" t="s">
        <v>42</v>
      </c>
      <c r="L1194" t="s">
        <v>42</v>
      </c>
      <c r="M1194" t="s">
        <v>125</v>
      </c>
      <c r="N1194" t="s">
        <v>122</v>
      </c>
    </row>
    <row r="1195" spans="1:15" x14ac:dyDescent="0.25">
      <c r="A1195" t="s">
        <v>78</v>
      </c>
      <c r="B1195" s="11" t="s">
        <v>68</v>
      </c>
      <c r="C1195" t="s">
        <v>121</v>
      </c>
      <c r="D1195">
        <v>42.9</v>
      </c>
      <c r="E1195">
        <f t="shared" ref="E1195:E1198" si="42">D1195</f>
        <v>42.9</v>
      </c>
      <c r="F1195" t="s">
        <v>42</v>
      </c>
      <c r="G1195" t="s">
        <v>42</v>
      </c>
      <c r="H1195" t="s">
        <v>42</v>
      </c>
      <c r="I1195" t="s">
        <v>42</v>
      </c>
      <c r="J1195" t="s">
        <v>42</v>
      </c>
      <c r="K1195" t="s">
        <v>42</v>
      </c>
      <c r="L1195" t="s">
        <v>42</v>
      </c>
      <c r="M1195" t="s">
        <v>122</v>
      </c>
      <c r="N1195" t="s">
        <v>122</v>
      </c>
    </row>
    <row r="1196" spans="1:15" x14ac:dyDescent="0.25">
      <c r="A1196" t="s">
        <v>78</v>
      </c>
      <c r="B1196" s="11" t="s">
        <v>68</v>
      </c>
      <c r="C1196" t="s">
        <v>123</v>
      </c>
      <c r="D1196">
        <v>34</v>
      </c>
      <c r="E1196">
        <f t="shared" si="42"/>
        <v>34</v>
      </c>
      <c r="F1196" t="s">
        <v>42</v>
      </c>
      <c r="G1196" t="s">
        <v>42</v>
      </c>
      <c r="H1196" t="s">
        <v>42</v>
      </c>
      <c r="I1196" t="s">
        <v>42</v>
      </c>
      <c r="J1196" t="s">
        <v>42</v>
      </c>
      <c r="K1196" t="s">
        <v>42</v>
      </c>
      <c r="L1196" t="s">
        <v>42</v>
      </c>
      <c r="M1196" t="s">
        <v>122</v>
      </c>
      <c r="N1196" t="s">
        <v>122</v>
      </c>
    </row>
    <row r="1197" spans="1:15" x14ac:dyDescent="0.25">
      <c r="A1197" t="s">
        <v>78</v>
      </c>
      <c r="B1197" s="11" t="s">
        <v>68</v>
      </c>
      <c r="C1197" t="s">
        <v>121</v>
      </c>
      <c r="D1197">
        <v>32.5</v>
      </c>
      <c r="E1197">
        <f t="shared" si="42"/>
        <v>32.5</v>
      </c>
      <c r="F1197" t="s">
        <v>42</v>
      </c>
      <c r="G1197" t="s">
        <v>42</v>
      </c>
      <c r="H1197" t="s">
        <v>42</v>
      </c>
      <c r="I1197" t="s">
        <v>42</v>
      </c>
      <c r="J1197" t="s">
        <v>42</v>
      </c>
      <c r="K1197" t="s">
        <v>42</v>
      </c>
      <c r="L1197" t="s">
        <v>42</v>
      </c>
      <c r="M1197" t="s">
        <v>122</v>
      </c>
      <c r="N1197" t="s">
        <v>122</v>
      </c>
    </row>
    <row r="1198" spans="1:15" x14ac:dyDescent="0.25">
      <c r="A1198" t="s">
        <v>78</v>
      </c>
      <c r="B1198" s="11" t="s">
        <v>68</v>
      </c>
      <c r="C1198" t="s">
        <v>121</v>
      </c>
      <c r="D1198">
        <v>38.200000000000003</v>
      </c>
      <c r="E1198">
        <f t="shared" si="42"/>
        <v>38.200000000000003</v>
      </c>
      <c r="F1198" t="s">
        <v>42</v>
      </c>
      <c r="G1198" t="s">
        <v>42</v>
      </c>
      <c r="H1198" t="s">
        <v>42</v>
      </c>
      <c r="I1198" t="s">
        <v>42</v>
      </c>
      <c r="J1198" t="s">
        <v>42</v>
      </c>
      <c r="K1198" t="s">
        <v>42</v>
      </c>
      <c r="L1198" t="s">
        <v>42</v>
      </c>
      <c r="M1198" t="s">
        <v>122</v>
      </c>
      <c r="N1198" t="s">
        <v>122</v>
      </c>
    </row>
    <row r="1199" spans="1:15" x14ac:dyDescent="0.25">
      <c r="A1199" t="s">
        <v>78</v>
      </c>
      <c r="B1199" s="11" t="s">
        <v>68</v>
      </c>
      <c r="C1199" t="s">
        <v>121</v>
      </c>
      <c r="D1199">
        <f>40.9+16.9</f>
        <v>57.8</v>
      </c>
      <c r="E1199">
        <v>40.9</v>
      </c>
      <c r="F1199">
        <v>16.899999999999999</v>
      </c>
      <c r="G1199" t="s">
        <v>42</v>
      </c>
      <c r="H1199" t="s">
        <v>42</v>
      </c>
      <c r="I1199" t="s">
        <v>42</v>
      </c>
      <c r="J1199" t="s">
        <v>42</v>
      </c>
      <c r="K1199" t="s">
        <v>42</v>
      </c>
      <c r="L1199" t="s">
        <v>42</v>
      </c>
      <c r="M1199" t="s">
        <v>124</v>
      </c>
      <c r="N1199" t="s">
        <v>122</v>
      </c>
    </row>
    <row r="1200" spans="1:15" x14ac:dyDescent="0.25">
      <c r="A1200" t="s">
        <v>78</v>
      </c>
      <c r="B1200" s="11" t="s">
        <v>68</v>
      </c>
      <c r="C1200" t="s">
        <v>121</v>
      </c>
      <c r="D1200">
        <v>35.799999999999997</v>
      </c>
      <c r="E1200">
        <f t="shared" ref="E1200:E1218" si="43">D1200</f>
        <v>35.799999999999997</v>
      </c>
      <c r="F1200" t="s">
        <v>42</v>
      </c>
      <c r="G1200" t="s">
        <v>42</v>
      </c>
      <c r="H1200" t="s">
        <v>42</v>
      </c>
      <c r="I1200" t="s">
        <v>42</v>
      </c>
      <c r="J1200" t="s">
        <v>42</v>
      </c>
      <c r="K1200" t="s">
        <v>42</v>
      </c>
      <c r="L1200" t="s">
        <v>42</v>
      </c>
      <c r="M1200" t="s">
        <v>122</v>
      </c>
      <c r="N1200" t="s">
        <v>122</v>
      </c>
    </row>
    <row r="1201" spans="1:14" x14ac:dyDescent="0.25">
      <c r="A1201" t="s">
        <v>78</v>
      </c>
      <c r="B1201" s="11" t="s">
        <v>68</v>
      </c>
      <c r="C1201" t="s">
        <v>121</v>
      </c>
      <c r="D1201">
        <v>16</v>
      </c>
      <c r="E1201">
        <f t="shared" si="43"/>
        <v>16</v>
      </c>
      <c r="F1201" t="s">
        <v>42</v>
      </c>
      <c r="G1201" t="s">
        <v>42</v>
      </c>
      <c r="H1201" t="s">
        <v>42</v>
      </c>
      <c r="I1201" t="s">
        <v>42</v>
      </c>
      <c r="J1201" t="s">
        <v>42</v>
      </c>
      <c r="K1201" t="s">
        <v>42</v>
      </c>
      <c r="L1201" t="s">
        <v>42</v>
      </c>
      <c r="M1201" t="s">
        <v>122</v>
      </c>
      <c r="N1201" t="s">
        <v>122</v>
      </c>
    </row>
    <row r="1202" spans="1:14" x14ac:dyDescent="0.25">
      <c r="A1202" t="s">
        <v>78</v>
      </c>
      <c r="B1202" s="11" t="s">
        <v>68</v>
      </c>
      <c r="C1202" t="s">
        <v>121</v>
      </c>
      <c r="D1202">
        <v>12.5</v>
      </c>
      <c r="E1202">
        <f t="shared" si="43"/>
        <v>12.5</v>
      </c>
      <c r="F1202" t="s">
        <v>42</v>
      </c>
      <c r="G1202" t="s">
        <v>42</v>
      </c>
      <c r="H1202" t="s">
        <v>42</v>
      </c>
      <c r="I1202" t="s">
        <v>42</v>
      </c>
      <c r="J1202" t="s">
        <v>42</v>
      </c>
      <c r="K1202" t="s">
        <v>42</v>
      </c>
      <c r="L1202" t="s">
        <v>42</v>
      </c>
      <c r="M1202" t="s">
        <v>122</v>
      </c>
      <c r="N1202" t="s">
        <v>122</v>
      </c>
    </row>
    <row r="1203" spans="1:14" x14ac:dyDescent="0.25">
      <c r="A1203" t="s">
        <v>78</v>
      </c>
      <c r="B1203" s="11" t="s">
        <v>68</v>
      </c>
      <c r="C1203" t="s">
        <v>121</v>
      </c>
      <c r="D1203">
        <v>48.1</v>
      </c>
      <c r="E1203">
        <f t="shared" si="43"/>
        <v>48.1</v>
      </c>
      <c r="F1203" t="s">
        <v>42</v>
      </c>
      <c r="G1203" t="s">
        <v>42</v>
      </c>
      <c r="H1203" t="s">
        <v>42</v>
      </c>
      <c r="I1203" t="s">
        <v>42</v>
      </c>
      <c r="J1203" t="s">
        <v>42</v>
      </c>
      <c r="K1203" t="s">
        <v>42</v>
      </c>
      <c r="L1203" t="s">
        <v>42</v>
      </c>
      <c r="M1203" t="s">
        <v>122</v>
      </c>
      <c r="N1203" t="s">
        <v>122</v>
      </c>
    </row>
    <row r="1204" spans="1:14" x14ac:dyDescent="0.25">
      <c r="A1204" t="s">
        <v>78</v>
      </c>
      <c r="B1204" s="11" t="s">
        <v>68</v>
      </c>
      <c r="C1204" t="s">
        <v>121</v>
      </c>
      <c r="D1204">
        <v>38.1</v>
      </c>
      <c r="E1204">
        <f t="shared" si="43"/>
        <v>38.1</v>
      </c>
      <c r="F1204" t="s">
        <v>42</v>
      </c>
      <c r="G1204" t="s">
        <v>42</v>
      </c>
      <c r="H1204" t="s">
        <v>42</v>
      </c>
      <c r="I1204" t="s">
        <v>42</v>
      </c>
      <c r="J1204" t="s">
        <v>42</v>
      </c>
      <c r="K1204" t="s">
        <v>42</v>
      </c>
      <c r="L1204" t="s">
        <v>42</v>
      </c>
      <c r="M1204" t="s">
        <v>122</v>
      </c>
      <c r="N1204" t="s">
        <v>122</v>
      </c>
    </row>
    <row r="1205" spans="1:14" x14ac:dyDescent="0.25">
      <c r="A1205" t="s">
        <v>78</v>
      </c>
      <c r="B1205" s="11" t="s">
        <v>68</v>
      </c>
      <c r="C1205" t="s">
        <v>121</v>
      </c>
      <c r="D1205">
        <v>46</v>
      </c>
      <c r="E1205">
        <f t="shared" si="43"/>
        <v>46</v>
      </c>
      <c r="F1205" t="s">
        <v>42</v>
      </c>
      <c r="G1205" t="s">
        <v>42</v>
      </c>
      <c r="H1205" t="s">
        <v>42</v>
      </c>
      <c r="I1205" t="s">
        <v>42</v>
      </c>
      <c r="J1205" t="s">
        <v>42</v>
      </c>
      <c r="K1205" t="s">
        <v>42</v>
      </c>
      <c r="L1205" t="s">
        <v>42</v>
      </c>
      <c r="M1205" t="s">
        <v>122</v>
      </c>
      <c r="N1205" t="s">
        <v>122</v>
      </c>
    </row>
    <row r="1206" spans="1:14" x14ac:dyDescent="0.25">
      <c r="A1206" t="s">
        <v>78</v>
      </c>
      <c r="B1206" s="11" t="s">
        <v>68</v>
      </c>
      <c r="C1206" t="s">
        <v>121</v>
      </c>
      <c r="D1206">
        <v>8</v>
      </c>
      <c r="E1206">
        <f t="shared" si="43"/>
        <v>8</v>
      </c>
      <c r="F1206" t="s">
        <v>42</v>
      </c>
      <c r="G1206" t="s">
        <v>42</v>
      </c>
      <c r="H1206" t="s">
        <v>42</v>
      </c>
      <c r="I1206" t="s">
        <v>42</v>
      </c>
      <c r="J1206" t="s">
        <v>42</v>
      </c>
      <c r="K1206" t="s">
        <v>42</v>
      </c>
      <c r="L1206" t="s">
        <v>42</v>
      </c>
      <c r="M1206" t="s">
        <v>122</v>
      </c>
      <c r="N1206" t="s">
        <v>122</v>
      </c>
    </row>
    <row r="1207" spans="1:14" x14ac:dyDescent="0.25">
      <c r="A1207" t="s">
        <v>78</v>
      </c>
      <c r="B1207" s="11" t="s">
        <v>68</v>
      </c>
      <c r="C1207" t="s">
        <v>121</v>
      </c>
      <c r="D1207">
        <v>37.200000000000003</v>
      </c>
      <c r="E1207">
        <f t="shared" si="43"/>
        <v>37.200000000000003</v>
      </c>
      <c r="F1207" t="s">
        <v>42</v>
      </c>
      <c r="G1207" t="s">
        <v>42</v>
      </c>
      <c r="H1207" t="s">
        <v>42</v>
      </c>
      <c r="I1207" t="s">
        <v>42</v>
      </c>
      <c r="J1207" t="s">
        <v>42</v>
      </c>
      <c r="K1207" t="s">
        <v>42</v>
      </c>
      <c r="L1207" t="s">
        <v>42</v>
      </c>
      <c r="M1207" t="s">
        <v>122</v>
      </c>
      <c r="N1207" t="s">
        <v>122</v>
      </c>
    </row>
    <row r="1208" spans="1:14" x14ac:dyDescent="0.25">
      <c r="A1208" t="s">
        <v>78</v>
      </c>
      <c r="B1208" s="11" t="s">
        <v>68</v>
      </c>
      <c r="C1208" t="s">
        <v>121</v>
      </c>
      <c r="D1208">
        <v>24.5</v>
      </c>
      <c r="E1208">
        <f t="shared" si="43"/>
        <v>24.5</v>
      </c>
      <c r="F1208" t="s">
        <v>42</v>
      </c>
      <c r="G1208" t="s">
        <v>42</v>
      </c>
      <c r="H1208" t="s">
        <v>42</v>
      </c>
      <c r="I1208" t="s">
        <v>42</v>
      </c>
      <c r="J1208" t="s">
        <v>42</v>
      </c>
      <c r="K1208" t="s">
        <v>42</v>
      </c>
      <c r="L1208" t="s">
        <v>42</v>
      </c>
      <c r="M1208" t="s">
        <v>122</v>
      </c>
      <c r="N1208" t="s">
        <v>122</v>
      </c>
    </row>
    <row r="1209" spans="1:14" x14ac:dyDescent="0.25">
      <c r="A1209" t="s">
        <v>78</v>
      </c>
      <c r="B1209" s="11" t="s">
        <v>68</v>
      </c>
      <c r="C1209" t="s">
        <v>121</v>
      </c>
      <c r="D1209">
        <v>37</v>
      </c>
      <c r="E1209">
        <f t="shared" si="43"/>
        <v>37</v>
      </c>
      <c r="F1209" t="s">
        <v>42</v>
      </c>
      <c r="G1209" t="s">
        <v>42</v>
      </c>
      <c r="H1209" t="s">
        <v>42</v>
      </c>
      <c r="I1209" t="s">
        <v>42</v>
      </c>
      <c r="J1209" t="s">
        <v>42</v>
      </c>
      <c r="K1209" t="s">
        <v>42</v>
      </c>
      <c r="L1209" t="s">
        <v>42</v>
      </c>
      <c r="M1209" t="s">
        <v>122</v>
      </c>
      <c r="N1209" t="s">
        <v>122</v>
      </c>
    </row>
    <row r="1210" spans="1:14" x14ac:dyDescent="0.25">
      <c r="A1210" t="s">
        <v>78</v>
      </c>
      <c r="B1210" s="11" t="s">
        <v>68</v>
      </c>
      <c r="C1210" t="s">
        <v>121</v>
      </c>
      <c r="D1210">
        <v>35.6</v>
      </c>
      <c r="E1210">
        <f t="shared" si="43"/>
        <v>35.6</v>
      </c>
      <c r="F1210" t="s">
        <v>42</v>
      </c>
      <c r="G1210" t="s">
        <v>42</v>
      </c>
      <c r="H1210" t="s">
        <v>42</v>
      </c>
      <c r="I1210" t="s">
        <v>42</v>
      </c>
      <c r="J1210" t="s">
        <v>42</v>
      </c>
      <c r="K1210" t="s">
        <v>42</v>
      </c>
      <c r="L1210" t="s">
        <v>42</v>
      </c>
      <c r="M1210" t="s">
        <v>122</v>
      </c>
      <c r="N1210" t="s">
        <v>122</v>
      </c>
    </row>
    <row r="1211" spans="1:14" x14ac:dyDescent="0.25">
      <c r="A1211" t="s">
        <v>78</v>
      </c>
      <c r="B1211" s="11" t="s">
        <v>68</v>
      </c>
      <c r="C1211" t="s">
        <v>121</v>
      </c>
      <c r="D1211">
        <v>38.4</v>
      </c>
      <c r="E1211">
        <f t="shared" si="43"/>
        <v>38.4</v>
      </c>
      <c r="F1211" t="s">
        <v>42</v>
      </c>
      <c r="G1211" t="s">
        <v>42</v>
      </c>
      <c r="H1211" t="s">
        <v>42</v>
      </c>
      <c r="I1211" t="s">
        <v>42</v>
      </c>
      <c r="J1211" t="s">
        <v>42</v>
      </c>
      <c r="K1211" t="s">
        <v>42</v>
      </c>
      <c r="L1211" t="s">
        <v>42</v>
      </c>
      <c r="M1211" t="s">
        <v>122</v>
      </c>
      <c r="N1211" t="s">
        <v>122</v>
      </c>
    </row>
    <row r="1212" spans="1:14" x14ac:dyDescent="0.25">
      <c r="A1212" t="s">
        <v>78</v>
      </c>
      <c r="B1212" s="11" t="s">
        <v>68</v>
      </c>
      <c r="C1212" t="s">
        <v>121</v>
      </c>
      <c r="D1212">
        <v>14.8</v>
      </c>
      <c r="E1212">
        <f t="shared" si="43"/>
        <v>14.8</v>
      </c>
      <c r="F1212" t="s">
        <v>42</v>
      </c>
      <c r="G1212" t="s">
        <v>42</v>
      </c>
      <c r="H1212" t="s">
        <v>42</v>
      </c>
      <c r="I1212" t="s">
        <v>42</v>
      </c>
      <c r="J1212" t="s">
        <v>42</v>
      </c>
      <c r="K1212" t="s">
        <v>42</v>
      </c>
      <c r="L1212" t="s">
        <v>42</v>
      </c>
      <c r="M1212" t="s">
        <v>122</v>
      </c>
      <c r="N1212" t="s">
        <v>122</v>
      </c>
    </row>
    <row r="1213" spans="1:14" x14ac:dyDescent="0.25">
      <c r="A1213" t="s">
        <v>78</v>
      </c>
      <c r="B1213" s="11" t="s">
        <v>68</v>
      </c>
      <c r="C1213" t="s">
        <v>121</v>
      </c>
      <c r="D1213">
        <v>51</v>
      </c>
      <c r="E1213">
        <f t="shared" si="43"/>
        <v>51</v>
      </c>
      <c r="F1213" t="s">
        <v>42</v>
      </c>
      <c r="G1213" t="s">
        <v>42</v>
      </c>
      <c r="H1213" t="s">
        <v>42</v>
      </c>
      <c r="I1213" t="s">
        <v>42</v>
      </c>
      <c r="J1213" t="s">
        <v>42</v>
      </c>
      <c r="K1213" t="s">
        <v>42</v>
      </c>
      <c r="L1213" t="s">
        <v>42</v>
      </c>
      <c r="M1213" t="s">
        <v>122</v>
      </c>
      <c r="N1213" t="s">
        <v>122</v>
      </c>
    </row>
    <row r="1214" spans="1:14" x14ac:dyDescent="0.25">
      <c r="A1214" t="s">
        <v>78</v>
      </c>
      <c r="B1214" s="11" t="s">
        <v>68</v>
      </c>
      <c r="C1214" t="s">
        <v>121</v>
      </c>
      <c r="D1214">
        <v>13.4</v>
      </c>
      <c r="E1214">
        <f t="shared" si="43"/>
        <v>13.4</v>
      </c>
      <c r="F1214" t="s">
        <v>42</v>
      </c>
      <c r="G1214" t="s">
        <v>42</v>
      </c>
      <c r="H1214" t="s">
        <v>42</v>
      </c>
      <c r="I1214" t="s">
        <v>42</v>
      </c>
      <c r="J1214" t="s">
        <v>42</v>
      </c>
      <c r="K1214" t="s">
        <v>42</v>
      </c>
      <c r="L1214" t="s">
        <v>42</v>
      </c>
      <c r="M1214" t="s">
        <v>122</v>
      </c>
      <c r="N1214" t="s">
        <v>122</v>
      </c>
    </row>
    <row r="1215" spans="1:14" x14ac:dyDescent="0.25">
      <c r="A1215" t="s">
        <v>78</v>
      </c>
      <c r="B1215" s="11" t="s">
        <v>68</v>
      </c>
      <c r="C1215" t="s">
        <v>121</v>
      </c>
      <c r="D1215">
        <v>37.700000000000003</v>
      </c>
      <c r="E1215">
        <f t="shared" si="43"/>
        <v>37.700000000000003</v>
      </c>
      <c r="F1215" t="s">
        <v>42</v>
      </c>
      <c r="G1215" t="s">
        <v>42</v>
      </c>
      <c r="H1215" t="s">
        <v>42</v>
      </c>
      <c r="I1215" t="s">
        <v>42</v>
      </c>
      <c r="J1215" t="s">
        <v>42</v>
      </c>
      <c r="K1215" t="s">
        <v>42</v>
      </c>
      <c r="L1215" t="s">
        <v>42</v>
      </c>
      <c r="M1215" t="s">
        <v>122</v>
      </c>
      <c r="N1215" t="s">
        <v>122</v>
      </c>
    </row>
    <row r="1216" spans="1:14" x14ac:dyDescent="0.25">
      <c r="A1216" t="s">
        <v>78</v>
      </c>
      <c r="B1216" s="11" t="s">
        <v>134</v>
      </c>
      <c r="C1216" t="s">
        <v>123</v>
      </c>
      <c r="D1216">
        <v>14</v>
      </c>
      <c r="E1216">
        <f t="shared" si="43"/>
        <v>14</v>
      </c>
      <c r="F1216" t="s">
        <v>42</v>
      </c>
      <c r="G1216" t="s">
        <v>42</v>
      </c>
      <c r="H1216" t="s">
        <v>42</v>
      </c>
      <c r="I1216" t="s">
        <v>42</v>
      </c>
      <c r="J1216" t="s">
        <v>42</v>
      </c>
      <c r="K1216" t="s">
        <v>42</v>
      </c>
      <c r="L1216" t="s">
        <v>42</v>
      </c>
      <c r="M1216" t="s">
        <v>122</v>
      </c>
      <c r="N1216" t="s">
        <v>122</v>
      </c>
    </row>
    <row r="1217" spans="1:14" x14ac:dyDescent="0.25">
      <c r="A1217" t="s">
        <v>78</v>
      </c>
      <c r="B1217" s="11" t="s">
        <v>135</v>
      </c>
      <c r="C1217" t="s">
        <v>121</v>
      </c>
      <c r="D1217">
        <v>24</v>
      </c>
      <c r="E1217">
        <f t="shared" si="43"/>
        <v>24</v>
      </c>
      <c r="F1217" t="s">
        <v>42</v>
      </c>
      <c r="G1217" t="s">
        <v>42</v>
      </c>
      <c r="H1217" t="s">
        <v>42</v>
      </c>
      <c r="I1217" t="s">
        <v>42</v>
      </c>
      <c r="J1217" t="s">
        <v>42</v>
      </c>
      <c r="K1217" t="s">
        <v>42</v>
      </c>
      <c r="L1217" t="s">
        <v>42</v>
      </c>
      <c r="M1217" t="s">
        <v>122</v>
      </c>
      <c r="N1217" t="s">
        <v>122</v>
      </c>
    </row>
    <row r="1218" spans="1:14" x14ac:dyDescent="0.25">
      <c r="A1218" t="s">
        <v>78</v>
      </c>
      <c r="B1218" s="11" t="s">
        <v>68</v>
      </c>
      <c r="C1218" t="s">
        <v>121</v>
      </c>
      <c r="D1218">
        <v>49.2</v>
      </c>
      <c r="E1218">
        <f t="shared" si="43"/>
        <v>49.2</v>
      </c>
      <c r="F1218" t="s">
        <v>42</v>
      </c>
      <c r="G1218" t="s">
        <v>42</v>
      </c>
      <c r="H1218" t="s">
        <v>42</v>
      </c>
      <c r="I1218" t="s">
        <v>42</v>
      </c>
      <c r="J1218" t="s">
        <v>42</v>
      </c>
      <c r="K1218" t="s">
        <v>42</v>
      </c>
      <c r="L1218" t="s">
        <v>42</v>
      </c>
      <c r="M1218" t="s">
        <v>122</v>
      </c>
      <c r="N1218" t="s">
        <v>122</v>
      </c>
    </row>
    <row r="1219" spans="1:14" x14ac:dyDescent="0.25">
      <c r="A1219" t="s">
        <v>78</v>
      </c>
      <c r="B1219" s="11" t="s">
        <v>135</v>
      </c>
      <c r="C1219" t="s">
        <v>121</v>
      </c>
      <c r="D1219">
        <f>29.1+29.9</f>
        <v>59</v>
      </c>
      <c r="E1219">
        <v>29.1</v>
      </c>
      <c r="F1219">
        <v>29.9</v>
      </c>
      <c r="G1219" t="s">
        <v>42</v>
      </c>
      <c r="H1219" t="s">
        <v>42</v>
      </c>
      <c r="I1219" t="s">
        <v>42</v>
      </c>
      <c r="J1219" t="s">
        <v>42</v>
      </c>
      <c r="K1219" t="s">
        <v>42</v>
      </c>
      <c r="L1219" t="s">
        <v>42</v>
      </c>
      <c r="M1219" t="s">
        <v>124</v>
      </c>
      <c r="N1219" t="s">
        <v>122</v>
      </c>
    </row>
    <row r="1220" spans="1:14" x14ac:dyDescent="0.25">
      <c r="A1220" t="s">
        <v>81</v>
      </c>
      <c r="B1220" s="11" t="s">
        <v>68</v>
      </c>
      <c r="C1220" t="s">
        <v>121</v>
      </c>
      <c r="D1220">
        <v>16.5</v>
      </c>
      <c r="E1220">
        <f t="shared" ref="E1220:E1226" si="44">D1220</f>
        <v>16.5</v>
      </c>
      <c r="F1220" t="s">
        <v>42</v>
      </c>
      <c r="G1220" t="s">
        <v>42</v>
      </c>
      <c r="H1220" t="s">
        <v>42</v>
      </c>
      <c r="I1220" t="s">
        <v>42</v>
      </c>
      <c r="J1220" t="s">
        <v>42</v>
      </c>
      <c r="K1220" t="s">
        <v>42</v>
      </c>
      <c r="L1220" t="s">
        <v>42</v>
      </c>
      <c r="M1220" t="s">
        <v>122</v>
      </c>
      <c r="N1220" t="s">
        <v>122</v>
      </c>
    </row>
    <row r="1221" spans="1:14" x14ac:dyDescent="0.25">
      <c r="A1221" t="s">
        <v>81</v>
      </c>
      <c r="B1221" s="11" t="s">
        <v>68</v>
      </c>
      <c r="C1221" t="s">
        <v>123</v>
      </c>
      <c r="D1221">
        <v>12.7</v>
      </c>
      <c r="E1221">
        <f t="shared" si="44"/>
        <v>12.7</v>
      </c>
      <c r="F1221" t="s">
        <v>42</v>
      </c>
      <c r="G1221" t="s">
        <v>42</v>
      </c>
      <c r="H1221" t="s">
        <v>42</v>
      </c>
      <c r="I1221" t="s">
        <v>42</v>
      </c>
      <c r="J1221" t="s">
        <v>42</v>
      </c>
      <c r="K1221" t="s">
        <v>42</v>
      </c>
      <c r="L1221" t="s">
        <v>42</v>
      </c>
      <c r="M1221" t="s">
        <v>122</v>
      </c>
      <c r="N1221" t="s">
        <v>122</v>
      </c>
    </row>
    <row r="1222" spans="1:14" x14ac:dyDescent="0.25">
      <c r="A1222" t="s">
        <v>81</v>
      </c>
      <c r="B1222" s="11" t="s">
        <v>68</v>
      </c>
      <c r="C1222" t="s">
        <v>121</v>
      </c>
      <c r="D1222">
        <v>17</v>
      </c>
      <c r="E1222">
        <f t="shared" si="44"/>
        <v>17</v>
      </c>
      <c r="F1222" t="s">
        <v>42</v>
      </c>
      <c r="G1222" t="s">
        <v>42</v>
      </c>
      <c r="H1222" t="s">
        <v>42</v>
      </c>
      <c r="I1222" t="s">
        <v>42</v>
      </c>
      <c r="J1222" t="s">
        <v>42</v>
      </c>
      <c r="K1222" t="s">
        <v>42</v>
      </c>
      <c r="L1222" t="s">
        <v>42</v>
      </c>
      <c r="M1222" t="s">
        <v>122</v>
      </c>
      <c r="N1222" t="s">
        <v>122</v>
      </c>
    </row>
    <row r="1223" spans="1:14" x14ac:dyDescent="0.25">
      <c r="A1223" t="s">
        <v>81</v>
      </c>
      <c r="B1223" s="11" t="s">
        <v>68</v>
      </c>
      <c r="C1223" t="s">
        <v>123</v>
      </c>
      <c r="D1223">
        <v>16.399999999999999</v>
      </c>
      <c r="E1223">
        <f t="shared" si="44"/>
        <v>16.399999999999999</v>
      </c>
      <c r="F1223" t="s">
        <v>42</v>
      </c>
      <c r="G1223" t="s">
        <v>42</v>
      </c>
      <c r="H1223" t="s">
        <v>42</v>
      </c>
      <c r="I1223" t="s">
        <v>42</v>
      </c>
      <c r="J1223" t="s">
        <v>42</v>
      </c>
      <c r="K1223" t="s">
        <v>42</v>
      </c>
      <c r="L1223" t="s">
        <v>42</v>
      </c>
      <c r="M1223" t="s">
        <v>122</v>
      </c>
      <c r="N1223" t="s">
        <v>122</v>
      </c>
    </row>
    <row r="1224" spans="1:14" x14ac:dyDescent="0.25">
      <c r="A1224" t="s">
        <v>81</v>
      </c>
      <c r="B1224" s="11" t="s">
        <v>68</v>
      </c>
      <c r="C1224" t="s">
        <v>121</v>
      </c>
      <c r="D1224">
        <v>26.4</v>
      </c>
      <c r="E1224">
        <f t="shared" si="44"/>
        <v>26.4</v>
      </c>
      <c r="F1224" t="s">
        <v>42</v>
      </c>
      <c r="G1224" t="s">
        <v>42</v>
      </c>
      <c r="H1224" t="s">
        <v>42</v>
      </c>
      <c r="I1224" t="s">
        <v>42</v>
      </c>
      <c r="J1224" t="s">
        <v>42</v>
      </c>
      <c r="K1224" t="s">
        <v>42</v>
      </c>
      <c r="L1224" t="s">
        <v>42</v>
      </c>
      <c r="M1224" t="s">
        <v>122</v>
      </c>
      <c r="N1224" t="s">
        <v>122</v>
      </c>
    </row>
    <row r="1225" spans="1:14" x14ac:dyDescent="0.25">
      <c r="A1225" t="s">
        <v>81</v>
      </c>
      <c r="B1225" s="11" t="s">
        <v>68</v>
      </c>
      <c r="C1225" t="s">
        <v>121</v>
      </c>
      <c r="D1225">
        <v>7.7</v>
      </c>
      <c r="E1225">
        <f t="shared" si="44"/>
        <v>7.7</v>
      </c>
      <c r="F1225" t="s">
        <v>42</v>
      </c>
      <c r="G1225" t="s">
        <v>42</v>
      </c>
      <c r="H1225" t="s">
        <v>42</v>
      </c>
      <c r="I1225" t="s">
        <v>42</v>
      </c>
      <c r="J1225" t="s">
        <v>42</v>
      </c>
      <c r="K1225" t="s">
        <v>42</v>
      </c>
      <c r="L1225" t="s">
        <v>42</v>
      </c>
      <c r="M1225" t="s">
        <v>122</v>
      </c>
      <c r="N1225" t="s">
        <v>122</v>
      </c>
    </row>
    <row r="1226" spans="1:14" x14ac:dyDescent="0.25">
      <c r="A1226" t="s">
        <v>81</v>
      </c>
      <c r="B1226" s="11" t="s">
        <v>68</v>
      </c>
      <c r="C1226" t="s">
        <v>121</v>
      </c>
      <c r="D1226">
        <v>15.8</v>
      </c>
      <c r="E1226">
        <f t="shared" si="44"/>
        <v>15.8</v>
      </c>
      <c r="F1226" t="s">
        <v>42</v>
      </c>
      <c r="G1226" t="s">
        <v>42</v>
      </c>
      <c r="H1226" t="s">
        <v>42</v>
      </c>
      <c r="I1226" t="s">
        <v>42</v>
      </c>
      <c r="J1226" t="s">
        <v>42</v>
      </c>
      <c r="K1226" t="s">
        <v>42</v>
      </c>
      <c r="L1226" t="s">
        <v>42</v>
      </c>
      <c r="M1226" t="s">
        <v>122</v>
      </c>
      <c r="N1226" t="s">
        <v>122</v>
      </c>
    </row>
    <row r="1227" spans="1:14" x14ac:dyDescent="0.25">
      <c r="A1227" t="s">
        <v>81</v>
      </c>
      <c r="B1227" s="11" t="s">
        <v>68</v>
      </c>
      <c r="C1227" t="s">
        <v>121</v>
      </c>
      <c r="D1227">
        <f>22.5+19.7</f>
        <v>42.2</v>
      </c>
      <c r="E1227">
        <v>22.5</v>
      </c>
      <c r="F1227">
        <v>19.7</v>
      </c>
      <c r="G1227" t="s">
        <v>42</v>
      </c>
      <c r="H1227" t="s">
        <v>42</v>
      </c>
      <c r="I1227" t="s">
        <v>42</v>
      </c>
      <c r="J1227" t="s">
        <v>42</v>
      </c>
      <c r="K1227" t="s">
        <v>42</v>
      </c>
      <c r="L1227" t="s">
        <v>42</v>
      </c>
      <c r="M1227" t="s">
        <v>124</v>
      </c>
      <c r="N1227" t="s">
        <v>122</v>
      </c>
    </row>
    <row r="1228" spans="1:14" x14ac:dyDescent="0.25">
      <c r="A1228" t="s">
        <v>81</v>
      </c>
      <c r="B1228" s="11" t="s">
        <v>68</v>
      </c>
      <c r="C1228" t="s">
        <v>123</v>
      </c>
      <c r="D1228">
        <v>21.4</v>
      </c>
      <c r="E1228">
        <f t="shared" ref="E1228:E1291" si="45">D1228</f>
        <v>21.4</v>
      </c>
      <c r="F1228" t="s">
        <v>42</v>
      </c>
      <c r="G1228" t="s">
        <v>42</v>
      </c>
      <c r="H1228" t="s">
        <v>42</v>
      </c>
      <c r="I1228" t="s">
        <v>42</v>
      </c>
      <c r="J1228" t="s">
        <v>42</v>
      </c>
      <c r="K1228" t="s">
        <v>42</v>
      </c>
      <c r="L1228" t="s">
        <v>42</v>
      </c>
      <c r="M1228" t="s">
        <v>122</v>
      </c>
      <c r="N1228" t="s">
        <v>122</v>
      </c>
    </row>
    <row r="1229" spans="1:14" x14ac:dyDescent="0.25">
      <c r="A1229" t="s">
        <v>81</v>
      </c>
      <c r="B1229" s="11" t="s">
        <v>68</v>
      </c>
      <c r="C1229" t="s">
        <v>121</v>
      </c>
      <c r="D1229">
        <v>23.4</v>
      </c>
      <c r="E1229">
        <f t="shared" si="45"/>
        <v>23.4</v>
      </c>
      <c r="F1229" t="s">
        <v>42</v>
      </c>
      <c r="G1229" t="s">
        <v>42</v>
      </c>
      <c r="H1229" t="s">
        <v>42</v>
      </c>
      <c r="I1229" t="s">
        <v>42</v>
      </c>
      <c r="J1229" t="s">
        <v>42</v>
      </c>
      <c r="K1229" t="s">
        <v>42</v>
      </c>
      <c r="L1229" t="s">
        <v>42</v>
      </c>
      <c r="M1229" t="s">
        <v>122</v>
      </c>
      <c r="N1229" t="s">
        <v>122</v>
      </c>
    </row>
    <row r="1230" spans="1:14" x14ac:dyDescent="0.25">
      <c r="A1230" t="s">
        <v>81</v>
      </c>
      <c r="B1230" s="11" t="s">
        <v>68</v>
      </c>
      <c r="C1230" t="s">
        <v>121</v>
      </c>
      <c r="D1230">
        <v>11.4</v>
      </c>
      <c r="E1230">
        <f t="shared" si="45"/>
        <v>11.4</v>
      </c>
      <c r="F1230" t="s">
        <v>42</v>
      </c>
      <c r="G1230" t="s">
        <v>42</v>
      </c>
      <c r="H1230" t="s">
        <v>42</v>
      </c>
      <c r="I1230" t="s">
        <v>42</v>
      </c>
      <c r="J1230" t="s">
        <v>42</v>
      </c>
      <c r="K1230" t="s">
        <v>42</v>
      </c>
      <c r="L1230" t="s">
        <v>42</v>
      </c>
      <c r="M1230" t="s">
        <v>122</v>
      </c>
      <c r="N1230" t="s">
        <v>122</v>
      </c>
    </row>
    <row r="1231" spans="1:14" x14ac:dyDescent="0.25">
      <c r="A1231" t="s">
        <v>81</v>
      </c>
      <c r="B1231" s="11" t="s">
        <v>68</v>
      </c>
      <c r="C1231" t="s">
        <v>121</v>
      </c>
      <c r="D1231">
        <v>14.9</v>
      </c>
      <c r="E1231">
        <f t="shared" si="45"/>
        <v>14.9</v>
      </c>
      <c r="F1231" t="s">
        <v>42</v>
      </c>
      <c r="G1231" t="s">
        <v>42</v>
      </c>
      <c r="H1231" t="s">
        <v>42</v>
      </c>
      <c r="I1231" t="s">
        <v>42</v>
      </c>
      <c r="J1231" t="s">
        <v>42</v>
      </c>
      <c r="K1231" t="s">
        <v>42</v>
      </c>
      <c r="L1231" t="s">
        <v>42</v>
      </c>
      <c r="M1231" t="s">
        <v>122</v>
      </c>
      <c r="N1231" t="s">
        <v>122</v>
      </c>
    </row>
    <row r="1232" spans="1:14" x14ac:dyDescent="0.25">
      <c r="A1232" t="s">
        <v>81</v>
      </c>
      <c r="B1232" s="11" t="s">
        <v>68</v>
      </c>
      <c r="C1232" t="s">
        <v>123</v>
      </c>
      <c r="D1232">
        <v>19.399999999999999</v>
      </c>
      <c r="E1232">
        <f t="shared" si="45"/>
        <v>19.399999999999999</v>
      </c>
      <c r="F1232" t="s">
        <v>42</v>
      </c>
      <c r="G1232" t="s">
        <v>42</v>
      </c>
      <c r="H1232" t="s">
        <v>42</v>
      </c>
      <c r="I1232" t="s">
        <v>42</v>
      </c>
      <c r="J1232" t="s">
        <v>42</v>
      </c>
      <c r="K1232" t="s">
        <v>42</v>
      </c>
      <c r="L1232" t="s">
        <v>42</v>
      </c>
      <c r="M1232" t="s">
        <v>122</v>
      </c>
      <c r="N1232" t="s">
        <v>122</v>
      </c>
    </row>
    <row r="1233" spans="1:14" x14ac:dyDescent="0.25">
      <c r="A1233" t="s">
        <v>81</v>
      </c>
      <c r="B1233" s="11" t="s">
        <v>68</v>
      </c>
      <c r="C1233" t="s">
        <v>121</v>
      </c>
      <c r="D1233">
        <v>18.8</v>
      </c>
      <c r="E1233">
        <f t="shared" si="45"/>
        <v>18.8</v>
      </c>
      <c r="F1233" t="s">
        <v>42</v>
      </c>
      <c r="G1233" t="s">
        <v>42</v>
      </c>
      <c r="H1233" t="s">
        <v>42</v>
      </c>
      <c r="I1233" t="s">
        <v>42</v>
      </c>
      <c r="J1233" t="s">
        <v>42</v>
      </c>
      <c r="K1233" t="s">
        <v>42</v>
      </c>
      <c r="L1233" t="s">
        <v>42</v>
      </c>
      <c r="M1233" t="s">
        <v>122</v>
      </c>
      <c r="N1233" t="s">
        <v>122</v>
      </c>
    </row>
    <row r="1234" spans="1:14" x14ac:dyDescent="0.25">
      <c r="A1234" t="s">
        <v>81</v>
      </c>
      <c r="B1234" s="11" t="s">
        <v>68</v>
      </c>
      <c r="C1234" t="s">
        <v>121</v>
      </c>
      <c r="D1234">
        <v>25.7</v>
      </c>
      <c r="E1234">
        <f t="shared" si="45"/>
        <v>25.7</v>
      </c>
      <c r="F1234" t="s">
        <v>42</v>
      </c>
      <c r="G1234" t="s">
        <v>42</v>
      </c>
      <c r="H1234" t="s">
        <v>42</v>
      </c>
      <c r="I1234" t="s">
        <v>42</v>
      </c>
      <c r="J1234" t="s">
        <v>42</v>
      </c>
      <c r="K1234" t="s">
        <v>42</v>
      </c>
      <c r="L1234" t="s">
        <v>42</v>
      </c>
      <c r="M1234" t="s">
        <v>122</v>
      </c>
      <c r="N1234" t="s">
        <v>122</v>
      </c>
    </row>
    <row r="1235" spans="1:14" x14ac:dyDescent="0.25">
      <c r="A1235" t="s">
        <v>81</v>
      </c>
      <c r="B1235" s="11" t="s">
        <v>68</v>
      </c>
      <c r="C1235" t="s">
        <v>121</v>
      </c>
      <c r="D1235">
        <v>10.3</v>
      </c>
      <c r="E1235">
        <f t="shared" si="45"/>
        <v>10.3</v>
      </c>
      <c r="F1235" t="s">
        <v>42</v>
      </c>
      <c r="G1235" t="s">
        <v>42</v>
      </c>
      <c r="H1235" t="s">
        <v>42</v>
      </c>
      <c r="I1235" t="s">
        <v>42</v>
      </c>
      <c r="J1235" t="s">
        <v>42</v>
      </c>
      <c r="K1235" t="s">
        <v>42</v>
      </c>
      <c r="L1235" t="s">
        <v>42</v>
      </c>
      <c r="M1235" t="s">
        <v>122</v>
      </c>
      <c r="N1235" t="s">
        <v>122</v>
      </c>
    </row>
    <row r="1236" spans="1:14" x14ac:dyDescent="0.25">
      <c r="A1236" t="s">
        <v>81</v>
      </c>
      <c r="B1236" s="11" t="s">
        <v>68</v>
      </c>
      <c r="C1236" t="s">
        <v>121</v>
      </c>
      <c r="D1236">
        <v>8.1</v>
      </c>
      <c r="E1236">
        <f t="shared" si="45"/>
        <v>8.1</v>
      </c>
      <c r="F1236" t="s">
        <v>42</v>
      </c>
      <c r="G1236" t="s">
        <v>42</v>
      </c>
      <c r="H1236" t="s">
        <v>42</v>
      </c>
      <c r="I1236" t="s">
        <v>42</v>
      </c>
      <c r="J1236" t="s">
        <v>42</v>
      </c>
      <c r="K1236" t="s">
        <v>42</v>
      </c>
      <c r="L1236" t="s">
        <v>42</v>
      </c>
      <c r="M1236" t="s">
        <v>122</v>
      </c>
      <c r="N1236" t="s">
        <v>122</v>
      </c>
    </row>
    <row r="1237" spans="1:14" x14ac:dyDescent="0.25">
      <c r="A1237" t="s">
        <v>81</v>
      </c>
      <c r="B1237" s="11" t="s">
        <v>68</v>
      </c>
      <c r="C1237" t="s">
        <v>121</v>
      </c>
      <c r="D1237">
        <v>23.5</v>
      </c>
      <c r="E1237">
        <f t="shared" si="45"/>
        <v>23.5</v>
      </c>
      <c r="F1237" t="s">
        <v>42</v>
      </c>
      <c r="G1237" t="s">
        <v>42</v>
      </c>
      <c r="H1237" t="s">
        <v>42</v>
      </c>
      <c r="I1237" t="s">
        <v>42</v>
      </c>
      <c r="J1237" t="s">
        <v>42</v>
      </c>
      <c r="K1237" t="s">
        <v>42</v>
      </c>
      <c r="L1237" t="s">
        <v>42</v>
      </c>
      <c r="M1237" t="s">
        <v>122</v>
      </c>
      <c r="N1237" t="s">
        <v>122</v>
      </c>
    </row>
    <row r="1238" spans="1:14" x14ac:dyDescent="0.25">
      <c r="A1238" t="s">
        <v>81</v>
      </c>
      <c r="B1238" s="11" t="s">
        <v>68</v>
      </c>
      <c r="C1238" t="s">
        <v>121</v>
      </c>
      <c r="D1238">
        <v>22</v>
      </c>
      <c r="E1238">
        <f t="shared" si="45"/>
        <v>22</v>
      </c>
      <c r="F1238" t="s">
        <v>42</v>
      </c>
      <c r="G1238" t="s">
        <v>42</v>
      </c>
      <c r="H1238" t="s">
        <v>42</v>
      </c>
      <c r="I1238" t="s">
        <v>42</v>
      </c>
      <c r="J1238" t="s">
        <v>42</v>
      </c>
      <c r="K1238" t="s">
        <v>42</v>
      </c>
      <c r="L1238" t="s">
        <v>42</v>
      </c>
      <c r="M1238" t="s">
        <v>122</v>
      </c>
      <c r="N1238" t="s">
        <v>122</v>
      </c>
    </row>
    <row r="1239" spans="1:14" x14ac:dyDescent="0.25">
      <c r="A1239" t="s">
        <v>81</v>
      </c>
      <c r="B1239" s="11" t="s">
        <v>68</v>
      </c>
      <c r="C1239" t="s">
        <v>121</v>
      </c>
      <c r="D1239">
        <v>15.8</v>
      </c>
      <c r="E1239">
        <f t="shared" si="45"/>
        <v>15.8</v>
      </c>
      <c r="F1239" t="s">
        <v>42</v>
      </c>
      <c r="G1239" t="s">
        <v>42</v>
      </c>
      <c r="H1239" t="s">
        <v>42</v>
      </c>
      <c r="I1239" t="s">
        <v>42</v>
      </c>
      <c r="J1239" t="s">
        <v>42</v>
      </c>
      <c r="K1239" t="s">
        <v>42</v>
      </c>
      <c r="L1239" t="s">
        <v>42</v>
      </c>
      <c r="M1239" t="s">
        <v>122</v>
      </c>
      <c r="N1239" t="s">
        <v>122</v>
      </c>
    </row>
    <row r="1240" spans="1:14" x14ac:dyDescent="0.25">
      <c r="A1240" t="s">
        <v>81</v>
      </c>
      <c r="B1240" s="11" t="s">
        <v>68</v>
      </c>
      <c r="C1240" t="s">
        <v>121</v>
      </c>
      <c r="D1240">
        <v>25.4</v>
      </c>
      <c r="E1240">
        <f t="shared" si="45"/>
        <v>25.4</v>
      </c>
      <c r="F1240" t="s">
        <v>42</v>
      </c>
      <c r="G1240" t="s">
        <v>42</v>
      </c>
      <c r="H1240" t="s">
        <v>42</v>
      </c>
      <c r="I1240" t="s">
        <v>42</v>
      </c>
      <c r="J1240" t="s">
        <v>42</v>
      </c>
      <c r="K1240" t="s">
        <v>42</v>
      </c>
      <c r="L1240" t="s">
        <v>42</v>
      </c>
      <c r="M1240" t="s">
        <v>122</v>
      </c>
      <c r="N1240" t="s">
        <v>122</v>
      </c>
    </row>
    <row r="1241" spans="1:14" x14ac:dyDescent="0.25">
      <c r="A1241" t="s">
        <v>81</v>
      </c>
      <c r="B1241" s="11" t="s">
        <v>68</v>
      </c>
      <c r="C1241" t="s">
        <v>123</v>
      </c>
      <c r="D1241">
        <v>16.399999999999999</v>
      </c>
      <c r="E1241">
        <f t="shared" si="45"/>
        <v>16.399999999999999</v>
      </c>
      <c r="F1241" t="s">
        <v>42</v>
      </c>
      <c r="G1241" t="s">
        <v>42</v>
      </c>
      <c r="H1241" t="s">
        <v>42</v>
      </c>
      <c r="I1241" t="s">
        <v>42</v>
      </c>
      <c r="J1241" t="s">
        <v>42</v>
      </c>
      <c r="K1241" t="s">
        <v>42</v>
      </c>
      <c r="L1241" t="s">
        <v>42</v>
      </c>
      <c r="M1241" t="s">
        <v>122</v>
      </c>
      <c r="N1241" t="s">
        <v>122</v>
      </c>
    </row>
    <row r="1242" spans="1:14" x14ac:dyDescent="0.25">
      <c r="A1242" t="s">
        <v>81</v>
      </c>
      <c r="B1242" s="11" t="s">
        <v>68</v>
      </c>
      <c r="C1242" t="s">
        <v>123</v>
      </c>
      <c r="D1242">
        <v>8.6</v>
      </c>
      <c r="E1242">
        <f t="shared" si="45"/>
        <v>8.6</v>
      </c>
      <c r="F1242" t="s">
        <v>42</v>
      </c>
      <c r="G1242" t="s">
        <v>42</v>
      </c>
      <c r="H1242" t="s">
        <v>42</v>
      </c>
      <c r="I1242" t="s">
        <v>42</v>
      </c>
      <c r="J1242" t="s">
        <v>42</v>
      </c>
      <c r="K1242" t="s">
        <v>42</v>
      </c>
      <c r="L1242" t="s">
        <v>42</v>
      </c>
      <c r="M1242" t="s">
        <v>122</v>
      </c>
      <c r="N1242" t="s">
        <v>122</v>
      </c>
    </row>
    <row r="1243" spans="1:14" x14ac:dyDescent="0.25">
      <c r="A1243" t="s">
        <v>81</v>
      </c>
      <c r="B1243" s="11" t="s">
        <v>68</v>
      </c>
      <c r="C1243" t="s">
        <v>121</v>
      </c>
      <c r="D1243">
        <v>15.5</v>
      </c>
      <c r="E1243">
        <f t="shared" si="45"/>
        <v>15.5</v>
      </c>
      <c r="F1243" t="s">
        <v>42</v>
      </c>
      <c r="G1243" t="s">
        <v>42</v>
      </c>
      <c r="H1243" t="s">
        <v>42</v>
      </c>
      <c r="I1243" t="s">
        <v>42</v>
      </c>
      <c r="J1243" t="s">
        <v>42</v>
      </c>
      <c r="K1243" t="s">
        <v>42</v>
      </c>
      <c r="L1243" t="s">
        <v>42</v>
      </c>
      <c r="M1243" t="s">
        <v>122</v>
      </c>
      <c r="N1243" t="s">
        <v>122</v>
      </c>
    </row>
    <row r="1244" spans="1:14" x14ac:dyDescent="0.25">
      <c r="A1244" t="s">
        <v>81</v>
      </c>
      <c r="B1244" s="11" t="s">
        <v>68</v>
      </c>
      <c r="C1244" t="s">
        <v>123</v>
      </c>
      <c r="D1244">
        <v>13.2</v>
      </c>
      <c r="E1244">
        <f t="shared" si="45"/>
        <v>13.2</v>
      </c>
      <c r="F1244" t="s">
        <v>42</v>
      </c>
      <c r="G1244" t="s">
        <v>42</v>
      </c>
      <c r="H1244" t="s">
        <v>42</v>
      </c>
      <c r="I1244" t="s">
        <v>42</v>
      </c>
      <c r="J1244" t="s">
        <v>42</v>
      </c>
      <c r="K1244" t="s">
        <v>42</v>
      </c>
      <c r="L1244" t="s">
        <v>42</v>
      </c>
      <c r="M1244" t="s">
        <v>122</v>
      </c>
      <c r="N1244" t="s">
        <v>122</v>
      </c>
    </row>
    <row r="1245" spans="1:14" x14ac:dyDescent="0.25">
      <c r="A1245" t="s">
        <v>81</v>
      </c>
      <c r="B1245" s="11" t="s">
        <v>68</v>
      </c>
      <c r="C1245" t="s">
        <v>121</v>
      </c>
      <c r="D1245">
        <v>15.2</v>
      </c>
      <c r="E1245">
        <f t="shared" si="45"/>
        <v>15.2</v>
      </c>
      <c r="F1245" t="s">
        <v>42</v>
      </c>
      <c r="G1245" t="s">
        <v>42</v>
      </c>
      <c r="H1245" t="s">
        <v>42</v>
      </c>
      <c r="I1245" t="s">
        <v>42</v>
      </c>
      <c r="J1245" t="s">
        <v>42</v>
      </c>
      <c r="K1245" t="s">
        <v>42</v>
      </c>
      <c r="L1245" t="s">
        <v>42</v>
      </c>
      <c r="M1245" t="s">
        <v>122</v>
      </c>
      <c r="N1245" t="s">
        <v>122</v>
      </c>
    </row>
    <row r="1246" spans="1:14" x14ac:dyDescent="0.25">
      <c r="A1246" t="s">
        <v>81</v>
      </c>
      <c r="B1246" s="11" t="s">
        <v>68</v>
      </c>
      <c r="C1246" t="s">
        <v>121</v>
      </c>
      <c r="D1246">
        <v>29.4</v>
      </c>
      <c r="E1246">
        <f t="shared" si="45"/>
        <v>29.4</v>
      </c>
      <c r="F1246" t="s">
        <v>42</v>
      </c>
      <c r="G1246" t="s">
        <v>42</v>
      </c>
      <c r="H1246" t="s">
        <v>42</v>
      </c>
      <c r="I1246" t="s">
        <v>42</v>
      </c>
      <c r="J1246" t="s">
        <v>42</v>
      </c>
      <c r="K1246" t="s">
        <v>42</v>
      </c>
      <c r="L1246" t="s">
        <v>42</v>
      </c>
      <c r="M1246" t="s">
        <v>122</v>
      </c>
      <c r="N1246" t="s">
        <v>122</v>
      </c>
    </row>
    <row r="1247" spans="1:14" x14ac:dyDescent="0.25">
      <c r="A1247" t="s">
        <v>81</v>
      </c>
      <c r="B1247" s="11" t="s">
        <v>68</v>
      </c>
      <c r="C1247" t="s">
        <v>121</v>
      </c>
      <c r="D1247">
        <v>22.7</v>
      </c>
      <c r="E1247">
        <f t="shared" si="45"/>
        <v>22.7</v>
      </c>
      <c r="F1247" t="s">
        <v>42</v>
      </c>
      <c r="G1247" t="s">
        <v>42</v>
      </c>
      <c r="H1247" t="s">
        <v>42</v>
      </c>
      <c r="I1247" t="s">
        <v>42</v>
      </c>
      <c r="J1247" t="s">
        <v>42</v>
      </c>
      <c r="K1247" t="s">
        <v>42</v>
      </c>
      <c r="L1247" t="s">
        <v>42</v>
      </c>
      <c r="M1247" t="s">
        <v>122</v>
      </c>
      <c r="N1247" t="s">
        <v>122</v>
      </c>
    </row>
    <row r="1248" spans="1:14" x14ac:dyDescent="0.25">
      <c r="A1248" t="s">
        <v>81</v>
      </c>
      <c r="B1248" s="11" t="s">
        <v>68</v>
      </c>
      <c r="C1248" t="s">
        <v>121</v>
      </c>
      <c r="D1248">
        <v>18.3</v>
      </c>
      <c r="E1248">
        <f t="shared" si="45"/>
        <v>18.3</v>
      </c>
      <c r="F1248" t="s">
        <v>42</v>
      </c>
      <c r="G1248" t="s">
        <v>42</v>
      </c>
      <c r="H1248" t="s">
        <v>42</v>
      </c>
      <c r="I1248" t="s">
        <v>42</v>
      </c>
      <c r="J1248" t="s">
        <v>42</v>
      </c>
      <c r="K1248" t="s">
        <v>42</v>
      </c>
      <c r="L1248" t="s">
        <v>42</v>
      </c>
      <c r="M1248" t="s">
        <v>122</v>
      </c>
      <c r="N1248" t="s">
        <v>122</v>
      </c>
    </row>
    <row r="1249" spans="1:14" x14ac:dyDescent="0.25">
      <c r="A1249" t="s">
        <v>81</v>
      </c>
      <c r="B1249" s="11" t="s">
        <v>68</v>
      </c>
      <c r="C1249" t="s">
        <v>121</v>
      </c>
      <c r="D1249">
        <v>7.6</v>
      </c>
      <c r="E1249">
        <f t="shared" si="45"/>
        <v>7.6</v>
      </c>
      <c r="F1249" t="s">
        <v>42</v>
      </c>
      <c r="G1249" t="s">
        <v>42</v>
      </c>
      <c r="H1249" t="s">
        <v>42</v>
      </c>
      <c r="I1249" t="s">
        <v>42</v>
      </c>
      <c r="J1249" t="s">
        <v>42</v>
      </c>
      <c r="K1249" t="s">
        <v>42</v>
      </c>
      <c r="L1249" t="s">
        <v>42</v>
      </c>
      <c r="M1249" t="s">
        <v>122</v>
      </c>
      <c r="N1249" t="s">
        <v>122</v>
      </c>
    </row>
    <row r="1250" spans="1:14" x14ac:dyDescent="0.25">
      <c r="A1250" t="s">
        <v>81</v>
      </c>
      <c r="B1250" s="11" t="s">
        <v>68</v>
      </c>
      <c r="C1250" t="s">
        <v>121</v>
      </c>
      <c r="D1250">
        <v>18.2</v>
      </c>
      <c r="E1250">
        <f t="shared" si="45"/>
        <v>18.2</v>
      </c>
      <c r="F1250" t="s">
        <v>42</v>
      </c>
      <c r="G1250" t="s">
        <v>42</v>
      </c>
      <c r="H1250" t="s">
        <v>42</v>
      </c>
      <c r="I1250" t="s">
        <v>42</v>
      </c>
      <c r="J1250" t="s">
        <v>42</v>
      </c>
      <c r="K1250" t="s">
        <v>42</v>
      </c>
      <c r="L1250" t="s">
        <v>42</v>
      </c>
      <c r="M1250" t="s">
        <v>122</v>
      </c>
      <c r="N1250" t="s">
        <v>122</v>
      </c>
    </row>
    <row r="1251" spans="1:14" x14ac:dyDescent="0.25">
      <c r="A1251" t="s">
        <v>81</v>
      </c>
      <c r="B1251" s="11" t="s">
        <v>68</v>
      </c>
      <c r="C1251" t="s">
        <v>123</v>
      </c>
      <c r="D1251">
        <v>13.2</v>
      </c>
      <c r="E1251">
        <f t="shared" si="45"/>
        <v>13.2</v>
      </c>
      <c r="F1251" t="s">
        <v>42</v>
      </c>
      <c r="G1251" t="s">
        <v>42</v>
      </c>
      <c r="H1251" t="s">
        <v>42</v>
      </c>
      <c r="I1251" t="s">
        <v>42</v>
      </c>
      <c r="J1251" t="s">
        <v>42</v>
      </c>
      <c r="K1251" t="s">
        <v>42</v>
      </c>
      <c r="L1251" t="s">
        <v>42</v>
      </c>
      <c r="M1251" t="s">
        <v>122</v>
      </c>
      <c r="N1251" t="s">
        <v>122</v>
      </c>
    </row>
    <row r="1252" spans="1:14" x14ac:dyDescent="0.25">
      <c r="A1252" t="s">
        <v>81</v>
      </c>
      <c r="B1252" s="11" t="s">
        <v>68</v>
      </c>
      <c r="C1252" t="s">
        <v>123</v>
      </c>
      <c r="D1252">
        <v>14.9</v>
      </c>
      <c r="E1252">
        <f t="shared" si="45"/>
        <v>14.9</v>
      </c>
      <c r="F1252" t="s">
        <v>42</v>
      </c>
      <c r="G1252" t="s">
        <v>42</v>
      </c>
      <c r="H1252" t="s">
        <v>42</v>
      </c>
      <c r="I1252" t="s">
        <v>42</v>
      </c>
      <c r="J1252" t="s">
        <v>42</v>
      </c>
      <c r="K1252" t="s">
        <v>42</v>
      </c>
      <c r="L1252" t="s">
        <v>42</v>
      </c>
      <c r="M1252" t="s">
        <v>122</v>
      </c>
      <c r="N1252" t="s">
        <v>122</v>
      </c>
    </row>
    <row r="1253" spans="1:14" x14ac:dyDescent="0.25">
      <c r="A1253" t="s">
        <v>81</v>
      </c>
      <c r="B1253" s="11" t="s">
        <v>68</v>
      </c>
      <c r="C1253" t="s">
        <v>121</v>
      </c>
      <c r="D1253">
        <v>21.2</v>
      </c>
      <c r="E1253">
        <f t="shared" si="45"/>
        <v>21.2</v>
      </c>
      <c r="F1253" t="s">
        <v>42</v>
      </c>
      <c r="G1253" t="s">
        <v>42</v>
      </c>
      <c r="H1253" t="s">
        <v>42</v>
      </c>
      <c r="I1253" t="s">
        <v>42</v>
      </c>
      <c r="J1253" t="s">
        <v>42</v>
      </c>
      <c r="K1253" t="s">
        <v>42</v>
      </c>
      <c r="L1253" t="s">
        <v>42</v>
      </c>
      <c r="M1253" t="s">
        <v>122</v>
      </c>
      <c r="N1253" t="s">
        <v>122</v>
      </c>
    </row>
    <row r="1254" spans="1:14" x14ac:dyDescent="0.25">
      <c r="A1254" t="s">
        <v>81</v>
      </c>
      <c r="B1254" s="11" t="s">
        <v>68</v>
      </c>
      <c r="C1254" t="s">
        <v>123</v>
      </c>
      <c r="D1254">
        <v>15.4</v>
      </c>
      <c r="E1254">
        <f t="shared" si="45"/>
        <v>15.4</v>
      </c>
      <c r="F1254" t="s">
        <v>42</v>
      </c>
      <c r="G1254" t="s">
        <v>42</v>
      </c>
      <c r="H1254" t="s">
        <v>42</v>
      </c>
      <c r="I1254" t="s">
        <v>42</v>
      </c>
      <c r="J1254" t="s">
        <v>42</v>
      </c>
      <c r="K1254" t="s">
        <v>42</v>
      </c>
      <c r="L1254" t="s">
        <v>42</v>
      </c>
      <c r="M1254" t="s">
        <v>122</v>
      </c>
      <c r="N1254" t="s">
        <v>122</v>
      </c>
    </row>
    <row r="1255" spans="1:14" x14ac:dyDescent="0.25">
      <c r="A1255" t="s">
        <v>81</v>
      </c>
      <c r="B1255" s="11" t="s">
        <v>68</v>
      </c>
      <c r="C1255" t="s">
        <v>123</v>
      </c>
      <c r="D1255">
        <v>21</v>
      </c>
      <c r="E1255">
        <f t="shared" si="45"/>
        <v>21</v>
      </c>
      <c r="F1255" t="s">
        <v>42</v>
      </c>
      <c r="G1255" t="s">
        <v>42</v>
      </c>
      <c r="H1255" t="s">
        <v>42</v>
      </c>
      <c r="I1255" t="s">
        <v>42</v>
      </c>
      <c r="J1255" t="s">
        <v>42</v>
      </c>
      <c r="K1255" t="s">
        <v>42</v>
      </c>
      <c r="L1255" t="s">
        <v>42</v>
      </c>
      <c r="M1255" t="s">
        <v>122</v>
      </c>
      <c r="N1255" t="s">
        <v>122</v>
      </c>
    </row>
    <row r="1256" spans="1:14" x14ac:dyDescent="0.25">
      <c r="A1256" t="s">
        <v>81</v>
      </c>
      <c r="B1256" s="11" t="s">
        <v>68</v>
      </c>
      <c r="C1256" t="s">
        <v>121</v>
      </c>
      <c r="D1256">
        <v>20.2</v>
      </c>
      <c r="E1256">
        <f t="shared" si="45"/>
        <v>20.2</v>
      </c>
      <c r="F1256" t="s">
        <v>42</v>
      </c>
      <c r="G1256" t="s">
        <v>42</v>
      </c>
      <c r="H1256" t="s">
        <v>42</v>
      </c>
      <c r="I1256" t="s">
        <v>42</v>
      </c>
      <c r="J1256" t="s">
        <v>42</v>
      </c>
      <c r="K1256" t="s">
        <v>42</v>
      </c>
      <c r="L1256" t="s">
        <v>42</v>
      </c>
      <c r="M1256" t="s">
        <v>122</v>
      </c>
      <c r="N1256" t="s">
        <v>122</v>
      </c>
    </row>
    <row r="1257" spans="1:14" x14ac:dyDescent="0.25">
      <c r="A1257" t="s">
        <v>81</v>
      </c>
      <c r="B1257" s="11" t="s">
        <v>68</v>
      </c>
      <c r="C1257" t="s">
        <v>121</v>
      </c>
      <c r="D1257">
        <v>20.3</v>
      </c>
      <c r="E1257">
        <f t="shared" si="45"/>
        <v>20.3</v>
      </c>
      <c r="F1257" t="s">
        <v>42</v>
      </c>
      <c r="G1257" t="s">
        <v>42</v>
      </c>
      <c r="H1257" t="s">
        <v>42</v>
      </c>
      <c r="I1257" t="s">
        <v>42</v>
      </c>
      <c r="J1257" t="s">
        <v>42</v>
      </c>
      <c r="K1257" t="s">
        <v>42</v>
      </c>
      <c r="L1257" t="s">
        <v>42</v>
      </c>
      <c r="M1257" t="s">
        <v>122</v>
      </c>
      <c r="N1257" t="s">
        <v>122</v>
      </c>
    </row>
    <row r="1258" spans="1:14" x14ac:dyDescent="0.25">
      <c r="A1258" t="s">
        <v>81</v>
      </c>
      <c r="B1258" s="11" t="s">
        <v>68</v>
      </c>
      <c r="C1258" t="s">
        <v>121</v>
      </c>
      <c r="D1258">
        <v>15</v>
      </c>
      <c r="E1258">
        <f t="shared" si="45"/>
        <v>15</v>
      </c>
      <c r="F1258" t="s">
        <v>42</v>
      </c>
      <c r="G1258" t="s">
        <v>42</v>
      </c>
      <c r="H1258" t="s">
        <v>42</v>
      </c>
      <c r="I1258" t="s">
        <v>42</v>
      </c>
      <c r="J1258" t="s">
        <v>42</v>
      </c>
      <c r="K1258" t="s">
        <v>42</v>
      </c>
      <c r="L1258" t="s">
        <v>42</v>
      </c>
      <c r="M1258" t="s">
        <v>122</v>
      </c>
      <c r="N1258" t="s">
        <v>122</v>
      </c>
    </row>
    <row r="1259" spans="1:14" x14ac:dyDescent="0.25">
      <c r="A1259" t="s">
        <v>81</v>
      </c>
      <c r="B1259" s="11" t="s">
        <v>68</v>
      </c>
      <c r="C1259" t="s">
        <v>121</v>
      </c>
      <c r="D1259">
        <v>18</v>
      </c>
      <c r="E1259">
        <f t="shared" si="45"/>
        <v>18</v>
      </c>
      <c r="F1259" t="s">
        <v>42</v>
      </c>
      <c r="G1259" t="s">
        <v>42</v>
      </c>
      <c r="H1259" t="s">
        <v>42</v>
      </c>
      <c r="I1259" t="s">
        <v>42</v>
      </c>
      <c r="J1259" t="s">
        <v>42</v>
      </c>
      <c r="K1259" t="s">
        <v>42</v>
      </c>
      <c r="L1259" t="s">
        <v>42</v>
      </c>
      <c r="M1259" t="s">
        <v>122</v>
      </c>
      <c r="N1259" t="s">
        <v>122</v>
      </c>
    </row>
    <row r="1260" spans="1:14" x14ac:dyDescent="0.25">
      <c r="A1260" t="s">
        <v>81</v>
      </c>
      <c r="B1260" s="11" t="s">
        <v>68</v>
      </c>
      <c r="C1260" t="s">
        <v>123</v>
      </c>
      <c r="D1260">
        <v>11.6</v>
      </c>
      <c r="E1260">
        <f t="shared" si="45"/>
        <v>11.6</v>
      </c>
      <c r="F1260" t="s">
        <v>42</v>
      </c>
      <c r="G1260" t="s">
        <v>42</v>
      </c>
      <c r="H1260" t="s">
        <v>42</v>
      </c>
      <c r="I1260" t="s">
        <v>42</v>
      </c>
      <c r="J1260" t="s">
        <v>42</v>
      </c>
      <c r="K1260" t="s">
        <v>42</v>
      </c>
      <c r="L1260" t="s">
        <v>42</v>
      </c>
      <c r="M1260" t="s">
        <v>122</v>
      </c>
      <c r="N1260" t="s">
        <v>122</v>
      </c>
    </row>
    <row r="1261" spans="1:14" x14ac:dyDescent="0.25">
      <c r="A1261" t="s">
        <v>81</v>
      </c>
      <c r="B1261" s="11" t="s">
        <v>68</v>
      </c>
      <c r="C1261" t="s">
        <v>121</v>
      </c>
      <c r="D1261">
        <v>9.3000000000000007</v>
      </c>
      <c r="E1261">
        <f t="shared" si="45"/>
        <v>9.3000000000000007</v>
      </c>
      <c r="F1261" t="s">
        <v>42</v>
      </c>
      <c r="G1261" t="s">
        <v>42</v>
      </c>
      <c r="H1261" t="s">
        <v>42</v>
      </c>
      <c r="I1261" t="s">
        <v>42</v>
      </c>
      <c r="J1261" t="s">
        <v>42</v>
      </c>
      <c r="K1261" t="s">
        <v>42</v>
      </c>
      <c r="L1261" t="s">
        <v>42</v>
      </c>
      <c r="M1261" t="s">
        <v>122</v>
      </c>
      <c r="N1261" t="s">
        <v>122</v>
      </c>
    </row>
    <row r="1262" spans="1:14" x14ac:dyDescent="0.25">
      <c r="A1262" t="s">
        <v>81</v>
      </c>
      <c r="B1262" s="11" t="s">
        <v>68</v>
      </c>
      <c r="C1262" t="s">
        <v>121</v>
      </c>
      <c r="D1262">
        <v>15.9</v>
      </c>
      <c r="E1262">
        <f t="shared" si="45"/>
        <v>15.9</v>
      </c>
      <c r="F1262" t="s">
        <v>42</v>
      </c>
      <c r="G1262" t="s">
        <v>42</v>
      </c>
      <c r="H1262" t="s">
        <v>42</v>
      </c>
      <c r="I1262" t="s">
        <v>42</v>
      </c>
      <c r="J1262" t="s">
        <v>42</v>
      </c>
      <c r="K1262" t="s">
        <v>42</v>
      </c>
      <c r="L1262" t="s">
        <v>42</v>
      </c>
      <c r="M1262" t="s">
        <v>122</v>
      </c>
      <c r="N1262" t="s">
        <v>122</v>
      </c>
    </row>
    <row r="1263" spans="1:14" x14ac:dyDescent="0.25">
      <c r="A1263" t="s">
        <v>81</v>
      </c>
      <c r="B1263" s="11" t="s">
        <v>68</v>
      </c>
      <c r="C1263" t="s">
        <v>121</v>
      </c>
      <c r="D1263">
        <v>8.5</v>
      </c>
      <c r="E1263">
        <f t="shared" si="45"/>
        <v>8.5</v>
      </c>
      <c r="F1263" t="s">
        <v>42</v>
      </c>
      <c r="G1263" t="s">
        <v>42</v>
      </c>
      <c r="H1263" t="s">
        <v>42</v>
      </c>
      <c r="I1263" t="s">
        <v>42</v>
      </c>
      <c r="J1263" t="s">
        <v>42</v>
      </c>
      <c r="K1263" t="s">
        <v>42</v>
      </c>
      <c r="L1263" t="s">
        <v>42</v>
      </c>
      <c r="M1263" t="s">
        <v>122</v>
      </c>
      <c r="N1263" t="s">
        <v>122</v>
      </c>
    </row>
    <row r="1264" spans="1:14" x14ac:dyDescent="0.25">
      <c r="A1264" t="s">
        <v>81</v>
      </c>
      <c r="B1264" s="11" t="s">
        <v>68</v>
      </c>
      <c r="C1264" t="s">
        <v>121</v>
      </c>
      <c r="D1264">
        <v>17.5</v>
      </c>
      <c r="E1264">
        <f t="shared" si="45"/>
        <v>17.5</v>
      </c>
      <c r="F1264" t="s">
        <v>42</v>
      </c>
      <c r="G1264" t="s">
        <v>42</v>
      </c>
      <c r="H1264" t="s">
        <v>42</v>
      </c>
      <c r="I1264" t="s">
        <v>42</v>
      </c>
      <c r="J1264" t="s">
        <v>42</v>
      </c>
      <c r="K1264" t="s">
        <v>42</v>
      </c>
      <c r="L1264" t="s">
        <v>42</v>
      </c>
      <c r="M1264" t="s">
        <v>122</v>
      </c>
      <c r="N1264" t="s">
        <v>122</v>
      </c>
    </row>
    <row r="1265" spans="1:14" x14ac:dyDescent="0.25">
      <c r="A1265" t="s">
        <v>81</v>
      </c>
      <c r="B1265" s="11" t="s">
        <v>68</v>
      </c>
      <c r="C1265" t="s">
        <v>121</v>
      </c>
      <c r="D1265">
        <v>16.600000000000001</v>
      </c>
      <c r="E1265">
        <f t="shared" si="45"/>
        <v>16.600000000000001</v>
      </c>
      <c r="F1265" t="s">
        <v>42</v>
      </c>
      <c r="G1265" t="s">
        <v>42</v>
      </c>
      <c r="H1265" t="s">
        <v>42</v>
      </c>
      <c r="I1265" t="s">
        <v>42</v>
      </c>
      <c r="J1265" t="s">
        <v>42</v>
      </c>
      <c r="K1265" t="s">
        <v>42</v>
      </c>
      <c r="L1265" t="s">
        <v>42</v>
      </c>
      <c r="M1265" t="s">
        <v>122</v>
      </c>
      <c r="N1265" t="s">
        <v>122</v>
      </c>
    </row>
    <row r="1266" spans="1:14" x14ac:dyDescent="0.25">
      <c r="A1266" t="s">
        <v>81</v>
      </c>
      <c r="B1266" s="11" t="s">
        <v>68</v>
      </c>
      <c r="C1266" t="s">
        <v>123</v>
      </c>
      <c r="D1266">
        <v>13.7</v>
      </c>
      <c r="E1266">
        <f t="shared" si="45"/>
        <v>13.7</v>
      </c>
      <c r="F1266" t="s">
        <v>42</v>
      </c>
      <c r="G1266" t="s">
        <v>42</v>
      </c>
      <c r="H1266" t="s">
        <v>42</v>
      </c>
      <c r="I1266" t="s">
        <v>42</v>
      </c>
      <c r="J1266" t="s">
        <v>42</v>
      </c>
      <c r="K1266" t="s">
        <v>42</v>
      </c>
      <c r="L1266" t="s">
        <v>42</v>
      </c>
      <c r="M1266" t="s">
        <v>122</v>
      </c>
      <c r="N1266" t="s">
        <v>122</v>
      </c>
    </row>
    <row r="1267" spans="1:14" x14ac:dyDescent="0.25">
      <c r="A1267" t="s">
        <v>81</v>
      </c>
      <c r="B1267" s="11" t="s">
        <v>68</v>
      </c>
      <c r="C1267" t="s">
        <v>121</v>
      </c>
      <c r="D1267">
        <v>17</v>
      </c>
      <c r="E1267">
        <f t="shared" si="45"/>
        <v>17</v>
      </c>
      <c r="F1267" t="s">
        <v>42</v>
      </c>
      <c r="G1267" t="s">
        <v>42</v>
      </c>
      <c r="H1267" t="s">
        <v>42</v>
      </c>
      <c r="I1267" t="s">
        <v>42</v>
      </c>
      <c r="J1267" t="s">
        <v>42</v>
      </c>
      <c r="K1267" t="s">
        <v>42</v>
      </c>
      <c r="L1267" t="s">
        <v>42</v>
      </c>
      <c r="M1267" t="s">
        <v>122</v>
      </c>
      <c r="N1267" t="s">
        <v>122</v>
      </c>
    </row>
    <row r="1268" spans="1:14" x14ac:dyDescent="0.25">
      <c r="A1268" t="s">
        <v>81</v>
      </c>
      <c r="B1268" s="11" t="s">
        <v>68</v>
      </c>
      <c r="C1268" t="s">
        <v>121</v>
      </c>
      <c r="D1268">
        <v>8.9</v>
      </c>
      <c r="E1268">
        <f t="shared" si="45"/>
        <v>8.9</v>
      </c>
      <c r="F1268" t="s">
        <v>42</v>
      </c>
      <c r="G1268" t="s">
        <v>42</v>
      </c>
      <c r="H1268" t="s">
        <v>42</v>
      </c>
      <c r="I1268" t="s">
        <v>42</v>
      </c>
      <c r="J1268" t="s">
        <v>42</v>
      </c>
      <c r="K1268" t="s">
        <v>42</v>
      </c>
      <c r="L1268" t="s">
        <v>42</v>
      </c>
      <c r="M1268" t="s">
        <v>122</v>
      </c>
      <c r="N1268" t="s">
        <v>122</v>
      </c>
    </row>
    <row r="1269" spans="1:14" x14ac:dyDescent="0.25">
      <c r="A1269" t="s">
        <v>81</v>
      </c>
      <c r="B1269" s="11" t="s">
        <v>68</v>
      </c>
      <c r="C1269" t="s">
        <v>121</v>
      </c>
      <c r="D1269">
        <v>9.6</v>
      </c>
      <c r="E1269">
        <f t="shared" si="45"/>
        <v>9.6</v>
      </c>
      <c r="F1269" t="s">
        <v>42</v>
      </c>
      <c r="G1269" t="s">
        <v>42</v>
      </c>
      <c r="H1269" t="s">
        <v>42</v>
      </c>
      <c r="I1269" t="s">
        <v>42</v>
      </c>
      <c r="J1269" t="s">
        <v>42</v>
      </c>
      <c r="K1269" t="s">
        <v>42</v>
      </c>
      <c r="L1269" t="s">
        <v>42</v>
      </c>
      <c r="M1269" t="s">
        <v>122</v>
      </c>
      <c r="N1269" t="s">
        <v>122</v>
      </c>
    </row>
    <row r="1270" spans="1:14" x14ac:dyDescent="0.25">
      <c r="A1270" t="s">
        <v>81</v>
      </c>
      <c r="B1270" s="11" t="s">
        <v>68</v>
      </c>
      <c r="C1270" t="s">
        <v>121</v>
      </c>
      <c r="D1270">
        <v>10.3</v>
      </c>
      <c r="E1270">
        <f t="shared" si="45"/>
        <v>10.3</v>
      </c>
      <c r="F1270" t="s">
        <v>42</v>
      </c>
      <c r="G1270" t="s">
        <v>42</v>
      </c>
      <c r="H1270" t="s">
        <v>42</v>
      </c>
      <c r="I1270" t="s">
        <v>42</v>
      </c>
      <c r="J1270" t="s">
        <v>42</v>
      </c>
      <c r="K1270" t="s">
        <v>42</v>
      </c>
      <c r="L1270" t="s">
        <v>42</v>
      </c>
      <c r="M1270" t="s">
        <v>122</v>
      </c>
      <c r="N1270" t="s">
        <v>122</v>
      </c>
    </row>
    <row r="1271" spans="1:14" x14ac:dyDescent="0.25">
      <c r="A1271" t="s">
        <v>81</v>
      </c>
      <c r="B1271" s="11" t="s">
        <v>68</v>
      </c>
      <c r="C1271" t="s">
        <v>123</v>
      </c>
      <c r="D1271">
        <v>12.1</v>
      </c>
      <c r="E1271">
        <f t="shared" si="45"/>
        <v>12.1</v>
      </c>
      <c r="F1271" t="s">
        <v>42</v>
      </c>
      <c r="G1271" t="s">
        <v>42</v>
      </c>
      <c r="H1271" t="s">
        <v>42</v>
      </c>
      <c r="I1271" t="s">
        <v>42</v>
      </c>
      <c r="J1271" t="s">
        <v>42</v>
      </c>
      <c r="K1271" t="s">
        <v>42</v>
      </c>
      <c r="L1271" t="s">
        <v>42</v>
      </c>
      <c r="M1271" t="s">
        <v>122</v>
      </c>
      <c r="N1271" t="s">
        <v>122</v>
      </c>
    </row>
    <row r="1272" spans="1:14" x14ac:dyDescent="0.25">
      <c r="A1272" t="s">
        <v>81</v>
      </c>
      <c r="B1272" s="11" t="s">
        <v>68</v>
      </c>
      <c r="C1272" t="s">
        <v>121</v>
      </c>
      <c r="D1272">
        <v>10.4</v>
      </c>
      <c r="E1272">
        <f t="shared" si="45"/>
        <v>10.4</v>
      </c>
      <c r="F1272" t="s">
        <v>42</v>
      </c>
      <c r="G1272" t="s">
        <v>42</v>
      </c>
      <c r="H1272" t="s">
        <v>42</v>
      </c>
      <c r="I1272" t="s">
        <v>42</v>
      </c>
      <c r="J1272" t="s">
        <v>42</v>
      </c>
      <c r="K1272" t="s">
        <v>42</v>
      </c>
      <c r="L1272" t="s">
        <v>42</v>
      </c>
      <c r="M1272" t="s">
        <v>122</v>
      </c>
      <c r="N1272" t="s">
        <v>122</v>
      </c>
    </row>
    <row r="1273" spans="1:14" x14ac:dyDescent="0.25">
      <c r="A1273" t="s">
        <v>81</v>
      </c>
      <c r="B1273" s="11" t="s">
        <v>68</v>
      </c>
      <c r="C1273" t="s">
        <v>121</v>
      </c>
      <c r="D1273">
        <v>8.4</v>
      </c>
      <c r="E1273">
        <f t="shared" si="45"/>
        <v>8.4</v>
      </c>
      <c r="F1273" t="s">
        <v>42</v>
      </c>
      <c r="G1273" t="s">
        <v>42</v>
      </c>
      <c r="H1273" t="s">
        <v>42</v>
      </c>
      <c r="I1273" t="s">
        <v>42</v>
      </c>
      <c r="J1273" t="s">
        <v>42</v>
      </c>
      <c r="K1273" t="s">
        <v>42</v>
      </c>
      <c r="L1273" t="s">
        <v>42</v>
      </c>
      <c r="M1273" t="s">
        <v>122</v>
      </c>
      <c r="N1273" t="s">
        <v>122</v>
      </c>
    </row>
    <row r="1274" spans="1:14" x14ac:dyDescent="0.25">
      <c r="A1274" t="s">
        <v>81</v>
      </c>
      <c r="B1274" s="11" t="s">
        <v>68</v>
      </c>
      <c r="C1274" t="s">
        <v>121</v>
      </c>
      <c r="D1274">
        <v>11.4</v>
      </c>
      <c r="E1274">
        <f t="shared" si="45"/>
        <v>11.4</v>
      </c>
      <c r="F1274" t="s">
        <v>42</v>
      </c>
      <c r="G1274" t="s">
        <v>42</v>
      </c>
      <c r="H1274" t="s">
        <v>42</v>
      </c>
      <c r="I1274" t="s">
        <v>42</v>
      </c>
      <c r="J1274" t="s">
        <v>42</v>
      </c>
      <c r="K1274" t="s">
        <v>42</v>
      </c>
      <c r="L1274" t="s">
        <v>42</v>
      </c>
      <c r="M1274" t="s">
        <v>122</v>
      </c>
      <c r="N1274" t="s">
        <v>122</v>
      </c>
    </row>
    <row r="1275" spans="1:14" x14ac:dyDescent="0.25">
      <c r="A1275" t="s">
        <v>81</v>
      </c>
      <c r="B1275" s="11" t="s">
        <v>68</v>
      </c>
      <c r="C1275" t="s">
        <v>121</v>
      </c>
      <c r="D1275">
        <v>15.3</v>
      </c>
      <c r="E1275">
        <f t="shared" si="45"/>
        <v>15.3</v>
      </c>
      <c r="F1275" t="s">
        <v>42</v>
      </c>
      <c r="G1275" t="s">
        <v>42</v>
      </c>
      <c r="H1275" t="s">
        <v>42</v>
      </c>
      <c r="I1275" t="s">
        <v>42</v>
      </c>
      <c r="J1275" t="s">
        <v>42</v>
      </c>
      <c r="K1275" t="s">
        <v>42</v>
      </c>
      <c r="L1275" t="s">
        <v>42</v>
      </c>
      <c r="M1275" t="s">
        <v>122</v>
      </c>
      <c r="N1275" t="s">
        <v>122</v>
      </c>
    </row>
    <row r="1276" spans="1:14" x14ac:dyDescent="0.25">
      <c r="A1276" t="s">
        <v>81</v>
      </c>
      <c r="B1276" s="11" t="s">
        <v>68</v>
      </c>
      <c r="C1276" t="s">
        <v>121</v>
      </c>
      <c r="D1276">
        <v>11.6</v>
      </c>
      <c r="E1276">
        <f t="shared" si="45"/>
        <v>11.6</v>
      </c>
      <c r="F1276" t="s">
        <v>42</v>
      </c>
      <c r="G1276" t="s">
        <v>42</v>
      </c>
      <c r="H1276" t="s">
        <v>42</v>
      </c>
      <c r="I1276" t="s">
        <v>42</v>
      </c>
      <c r="J1276" t="s">
        <v>42</v>
      </c>
      <c r="K1276" t="s">
        <v>42</v>
      </c>
      <c r="L1276" t="s">
        <v>42</v>
      </c>
      <c r="M1276" t="s">
        <v>122</v>
      </c>
      <c r="N1276" t="s">
        <v>122</v>
      </c>
    </row>
    <row r="1277" spans="1:14" x14ac:dyDescent="0.25">
      <c r="A1277" t="s">
        <v>81</v>
      </c>
      <c r="B1277" s="11" t="s">
        <v>68</v>
      </c>
      <c r="C1277" t="s">
        <v>121</v>
      </c>
      <c r="D1277">
        <v>12.2</v>
      </c>
      <c r="E1277">
        <f t="shared" si="45"/>
        <v>12.2</v>
      </c>
      <c r="F1277" t="s">
        <v>42</v>
      </c>
      <c r="G1277" t="s">
        <v>42</v>
      </c>
      <c r="H1277" t="s">
        <v>42</v>
      </c>
      <c r="I1277" t="s">
        <v>42</v>
      </c>
      <c r="J1277" t="s">
        <v>42</v>
      </c>
      <c r="K1277" t="s">
        <v>42</v>
      </c>
      <c r="L1277" t="s">
        <v>42</v>
      </c>
      <c r="M1277" t="s">
        <v>122</v>
      </c>
      <c r="N1277" t="s">
        <v>122</v>
      </c>
    </row>
    <row r="1278" spans="1:14" x14ac:dyDescent="0.25">
      <c r="A1278" t="s">
        <v>81</v>
      </c>
      <c r="B1278" s="11" t="s">
        <v>68</v>
      </c>
      <c r="C1278" t="s">
        <v>121</v>
      </c>
      <c r="D1278">
        <v>10.6</v>
      </c>
      <c r="E1278">
        <f t="shared" si="45"/>
        <v>10.6</v>
      </c>
      <c r="F1278" t="s">
        <v>42</v>
      </c>
      <c r="G1278" t="s">
        <v>42</v>
      </c>
      <c r="H1278" t="s">
        <v>42</v>
      </c>
      <c r="I1278" t="s">
        <v>42</v>
      </c>
      <c r="J1278" t="s">
        <v>42</v>
      </c>
      <c r="K1278" t="s">
        <v>42</v>
      </c>
      <c r="L1278" t="s">
        <v>42</v>
      </c>
      <c r="M1278" t="s">
        <v>122</v>
      </c>
      <c r="N1278" t="s">
        <v>122</v>
      </c>
    </row>
    <row r="1279" spans="1:14" x14ac:dyDescent="0.25">
      <c r="A1279" t="s">
        <v>81</v>
      </c>
      <c r="B1279" s="11" t="s">
        <v>68</v>
      </c>
      <c r="C1279" t="s">
        <v>123</v>
      </c>
      <c r="D1279">
        <v>9.5</v>
      </c>
      <c r="E1279">
        <f t="shared" si="45"/>
        <v>9.5</v>
      </c>
      <c r="F1279" t="s">
        <v>42</v>
      </c>
      <c r="G1279" t="s">
        <v>42</v>
      </c>
      <c r="H1279" t="s">
        <v>42</v>
      </c>
      <c r="I1279" t="s">
        <v>42</v>
      </c>
      <c r="J1279" t="s">
        <v>42</v>
      </c>
      <c r="K1279" t="s">
        <v>42</v>
      </c>
      <c r="L1279" t="s">
        <v>42</v>
      </c>
      <c r="M1279" t="s">
        <v>122</v>
      </c>
      <c r="N1279" t="s">
        <v>122</v>
      </c>
    </row>
    <row r="1280" spans="1:14" x14ac:dyDescent="0.25">
      <c r="A1280" t="s">
        <v>81</v>
      </c>
      <c r="B1280" s="11" t="s">
        <v>68</v>
      </c>
      <c r="C1280" t="s">
        <v>121</v>
      </c>
      <c r="D1280">
        <v>7.4</v>
      </c>
      <c r="E1280">
        <f t="shared" si="45"/>
        <v>7.4</v>
      </c>
      <c r="F1280" t="s">
        <v>42</v>
      </c>
      <c r="G1280" t="s">
        <v>42</v>
      </c>
      <c r="H1280" t="s">
        <v>42</v>
      </c>
      <c r="I1280" t="s">
        <v>42</v>
      </c>
      <c r="J1280" t="s">
        <v>42</v>
      </c>
      <c r="K1280" t="s">
        <v>42</v>
      </c>
      <c r="L1280" t="s">
        <v>42</v>
      </c>
      <c r="M1280" t="s">
        <v>122</v>
      </c>
      <c r="N1280" t="s">
        <v>122</v>
      </c>
    </row>
    <row r="1281" spans="1:14" x14ac:dyDescent="0.25">
      <c r="A1281" t="s">
        <v>81</v>
      </c>
      <c r="B1281" s="11" t="s">
        <v>68</v>
      </c>
      <c r="C1281" t="s">
        <v>123</v>
      </c>
      <c r="D1281">
        <v>12.6</v>
      </c>
      <c r="E1281">
        <f t="shared" si="45"/>
        <v>12.6</v>
      </c>
      <c r="F1281" t="s">
        <v>42</v>
      </c>
      <c r="G1281" t="s">
        <v>42</v>
      </c>
      <c r="H1281" t="s">
        <v>42</v>
      </c>
      <c r="I1281" t="s">
        <v>42</v>
      </c>
      <c r="J1281" t="s">
        <v>42</v>
      </c>
      <c r="K1281" t="s">
        <v>42</v>
      </c>
      <c r="L1281" t="s">
        <v>42</v>
      </c>
      <c r="M1281" t="s">
        <v>122</v>
      </c>
      <c r="N1281" t="s">
        <v>122</v>
      </c>
    </row>
    <row r="1282" spans="1:14" x14ac:dyDescent="0.25">
      <c r="A1282" t="s">
        <v>81</v>
      </c>
      <c r="B1282" s="11" t="s">
        <v>68</v>
      </c>
      <c r="C1282" t="s">
        <v>121</v>
      </c>
      <c r="D1282">
        <v>8.9</v>
      </c>
      <c r="E1282">
        <f t="shared" si="45"/>
        <v>8.9</v>
      </c>
      <c r="F1282" t="s">
        <v>42</v>
      </c>
      <c r="G1282" t="s">
        <v>42</v>
      </c>
      <c r="H1282" t="s">
        <v>42</v>
      </c>
      <c r="I1282" t="s">
        <v>42</v>
      </c>
      <c r="J1282" t="s">
        <v>42</v>
      </c>
      <c r="K1282" t="s">
        <v>42</v>
      </c>
      <c r="L1282" t="s">
        <v>42</v>
      </c>
      <c r="M1282" t="s">
        <v>122</v>
      </c>
      <c r="N1282" t="s">
        <v>122</v>
      </c>
    </row>
    <row r="1283" spans="1:14" x14ac:dyDescent="0.25">
      <c r="A1283" t="s">
        <v>81</v>
      </c>
      <c r="B1283" s="11" t="s">
        <v>68</v>
      </c>
      <c r="C1283" t="s">
        <v>121</v>
      </c>
      <c r="D1283">
        <v>17</v>
      </c>
      <c r="E1283">
        <f t="shared" si="45"/>
        <v>17</v>
      </c>
      <c r="F1283" t="s">
        <v>42</v>
      </c>
      <c r="G1283" t="s">
        <v>42</v>
      </c>
      <c r="H1283" t="s">
        <v>42</v>
      </c>
      <c r="I1283" t="s">
        <v>42</v>
      </c>
      <c r="J1283" t="s">
        <v>42</v>
      </c>
      <c r="K1283" t="s">
        <v>42</v>
      </c>
      <c r="L1283" t="s">
        <v>42</v>
      </c>
      <c r="M1283" t="s">
        <v>122</v>
      </c>
      <c r="N1283" t="s">
        <v>122</v>
      </c>
    </row>
    <row r="1284" spans="1:14" x14ac:dyDescent="0.25">
      <c r="A1284" t="s">
        <v>81</v>
      </c>
      <c r="B1284" s="11" t="s">
        <v>68</v>
      </c>
      <c r="C1284" t="s">
        <v>121</v>
      </c>
      <c r="D1284">
        <v>23.7</v>
      </c>
      <c r="E1284">
        <f t="shared" si="45"/>
        <v>23.7</v>
      </c>
      <c r="F1284" t="s">
        <v>42</v>
      </c>
      <c r="G1284" t="s">
        <v>42</v>
      </c>
      <c r="H1284" t="s">
        <v>42</v>
      </c>
      <c r="I1284" t="s">
        <v>42</v>
      </c>
      <c r="J1284" t="s">
        <v>42</v>
      </c>
      <c r="K1284" t="s">
        <v>42</v>
      </c>
      <c r="L1284" t="s">
        <v>42</v>
      </c>
      <c r="M1284" t="s">
        <v>122</v>
      </c>
      <c r="N1284" t="s">
        <v>122</v>
      </c>
    </row>
    <row r="1285" spans="1:14" x14ac:dyDescent="0.25">
      <c r="A1285" t="s">
        <v>81</v>
      </c>
      <c r="B1285" s="11" t="s">
        <v>68</v>
      </c>
      <c r="C1285" t="s">
        <v>121</v>
      </c>
      <c r="D1285">
        <v>18.399999999999999</v>
      </c>
      <c r="E1285">
        <f t="shared" si="45"/>
        <v>18.399999999999999</v>
      </c>
      <c r="F1285" t="s">
        <v>42</v>
      </c>
      <c r="G1285" t="s">
        <v>42</v>
      </c>
      <c r="H1285" t="s">
        <v>42</v>
      </c>
      <c r="I1285" t="s">
        <v>42</v>
      </c>
      <c r="J1285" t="s">
        <v>42</v>
      </c>
      <c r="K1285" t="s">
        <v>42</v>
      </c>
      <c r="L1285" t="s">
        <v>42</v>
      </c>
      <c r="M1285" t="s">
        <v>122</v>
      </c>
      <c r="N1285" t="s">
        <v>122</v>
      </c>
    </row>
    <row r="1286" spans="1:14" x14ac:dyDescent="0.25">
      <c r="A1286" t="s">
        <v>81</v>
      </c>
      <c r="B1286" s="11" t="s">
        <v>68</v>
      </c>
      <c r="C1286" t="s">
        <v>121</v>
      </c>
      <c r="D1286">
        <v>14.1</v>
      </c>
      <c r="E1286">
        <f t="shared" si="45"/>
        <v>14.1</v>
      </c>
      <c r="F1286" t="s">
        <v>42</v>
      </c>
      <c r="G1286" t="s">
        <v>42</v>
      </c>
      <c r="H1286" t="s">
        <v>42</v>
      </c>
      <c r="I1286" t="s">
        <v>42</v>
      </c>
      <c r="J1286" t="s">
        <v>42</v>
      </c>
      <c r="K1286" t="s">
        <v>42</v>
      </c>
      <c r="L1286" t="s">
        <v>42</v>
      </c>
      <c r="M1286" t="s">
        <v>122</v>
      </c>
      <c r="N1286" t="s">
        <v>122</v>
      </c>
    </row>
    <row r="1287" spans="1:14" x14ac:dyDescent="0.25">
      <c r="A1287" t="s">
        <v>81</v>
      </c>
      <c r="B1287" s="11" t="s">
        <v>68</v>
      </c>
      <c r="C1287" t="s">
        <v>121</v>
      </c>
      <c r="D1287">
        <v>23.2</v>
      </c>
      <c r="E1287">
        <f t="shared" si="45"/>
        <v>23.2</v>
      </c>
      <c r="F1287" t="s">
        <v>42</v>
      </c>
      <c r="G1287" t="s">
        <v>42</v>
      </c>
      <c r="H1287" t="s">
        <v>42</v>
      </c>
      <c r="I1287" t="s">
        <v>42</v>
      </c>
      <c r="J1287" t="s">
        <v>42</v>
      </c>
      <c r="K1287" t="s">
        <v>42</v>
      </c>
      <c r="L1287" t="s">
        <v>42</v>
      </c>
      <c r="M1287" t="s">
        <v>122</v>
      </c>
      <c r="N1287" t="s">
        <v>122</v>
      </c>
    </row>
    <row r="1288" spans="1:14" x14ac:dyDescent="0.25">
      <c r="A1288" t="s">
        <v>81</v>
      </c>
      <c r="B1288" s="11" t="s">
        <v>68</v>
      </c>
      <c r="C1288" t="s">
        <v>121</v>
      </c>
      <c r="D1288">
        <v>18.100000000000001</v>
      </c>
      <c r="E1288">
        <f t="shared" si="45"/>
        <v>18.100000000000001</v>
      </c>
      <c r="F1288" t="s">
        <v>42</v>
      </c>
      <c r="G1288" t="s">
        <v>42</v>
      </c>
      <c r="H1288" t="s">
        <v>42</v>
      </c>
      <c r="I1288" t="s">
        <v>42</v>
      </c>
      <c r="J1288" t="s">
        <v>42</v>
      </c>
      <c r="K1288" t="s">
        <v>42</v>
      </c>
      <c r="L1288" t="s">
        <v>42</v>
      </c>
      <c r="M1288" t="s">
        <v>122</v>
      </c>
      <c r="N1288" t="s">
        <v>122</v>
      </c>
    </row>
    <row r="1289" spans="1:14" x14ac:dyDescent="0.25">
      <c r="A1289" t="s">
        <v>81</v>
      </c>
      <c r="B1289" s="11" t="s">
        <v>68</v>
      </c>
      <c r="C1289" t="s">
        <v>121</v>
      </c>
      <c r="D1289">
        <v>17</v>
      </c>
      <c r="E1289">
        <f t="shared" si="45"/>
        <v>17</v>
      </c>
      <c r="F1289" t="s">
        <v>42</v>
      </c>
      <c r="G1289" t="s">
        <v>42</v>
      </c>
      <c r="H1289" t="s">
        <v>42</v>
      </c>
      <c r="I1289" t="s">
        <v>42</v>
      </c>
      <c r="J1289" t="s">
        <v>42</v>
      </c>
      <c r="K1289" t="s">
        <v>42</v>
      </c>
      <c r="L1289" t="s">
        <v>42</v>
      </c>
      <c r="M1289" t="s">
        <v>122</v>
      </c>
      <c r="N1289" t="s">
        <v>122</v>
      </c>
    </row>
    <row r="1290" spans="1:14" x14ac:dyDescent="0.25">
      <c r="A1290" t="s">
        <v>81</v>
      </c>
      <c r="B1290" s="11" t="s">
        <v>68</v>
      </c>
      <c r="C1290" t="s">
        <v>123</v>
      </c>
      <c r="D1290">
        <v>14</v>
      </c>
      <c r="E1290">
        <f t="shared" si="45"/>
        <v>14</v>
      </c>
      <c r="F1290" t="s">
        <v>42</v>
      </c>
      <c r="G1290" t="s">
        <v>42</v>
      </c>
      <c r="H1290" t="s">
        <v>42</v>
      </c>
      <c r="I1290" t="s">
        <v>42</v>
      </c>
      <c r="J1290" t="s">
        <v>42</v>
      </c>
      <c r="K1290" t="s">
        <v>42</v>
      </c>
      <c r="L1290" t="s">
        <v>42</v>
      </c>
      <c r="M1290" t="s">
        <v>122</v>
      </c>
      <c r="N1290" t="s">
        <v>122</v>
      </c>
    </row>
    <row r="1291" spans="1:14" x14ac:dyDescent="0.25">
      <c r="A1291" t="s">
        <v>81</v>
      </c>
      <c r="B1291" s="11" t="s">
        <v>68</v>
      </c>
      <c r="C1291" t="s">
        <v>121</v>
      </c>
      <c r="D1291">
        <v>11.9</v>
      </c>
      <c r="E1291">
        <f t="shared" si="45"/>
        <v>11.9</v>
      </c>
      <c r="F1291" t="s">
        <v>42</v>
      </c>
      <c r="G1291" t="s">
        <v>42</v>
      </c>
      <c r="H1291" t="s">
        <v>42</v>
      </c>
      <c r="I1291" t="s">
        <v>42</v>
      </c>
      <c r="J1291" t="s">
        <v>42</v>
      </c>
      <c r="K1291" t="s">
        <v>42</v>
      </c>
      <c r="L1291" t="s">
        <v>42</v>
      </c>
      <c r="M1291" t="s">
        <v>122</v>
      </c>
      <c r="N1291" t="s">
        <v>122</v>
      </c>
    </row>
    <row r="1292" spans="1:14" x14ac:dyDescent="0.25">
      <c r="A1292" t="s">
        <v>81</v>
      </c>
      <c r="B1292" s="11" t="s">
        <v>68</v>
      </c>
      <c r="C1292" t="s">
        <v>123</v>
      </c>
      <c r="D1292">
        <v>11.5</v>
      </c>
      <c r="E1292">
        <f t="shared" ref="E1292:E1296" si="46">D1292</f>
        <v>11.5</v>
      </c>
      <c r="F1292" t="s">
        <v>42</v>
      </c>
      <c r="G1292" t="s">
        <v>42</v>
      </c>
      <c r="H1292" t="s">
        <v>42</v>
      </c>
      <c r="I1292" t="s">
        <v>42</v>
      </c>
      <c r="J1292" t="s">
        <v>42</v>
      </c>
      <c r="K1292" t="s">
        <v>42</v>
      </c>
      <c r="L1292" t="s">
        <v>42</v>
      </c>
      <c r="M1292" t="s">
        <v>122</v>
      </c>
      <c r="N1292" t="s">
        <v>122</v>
      </c>
    </row>
    <row r="1293" spans="1:14" x14ac:dyDescent="0.25">
      <c r="A1293" t="s">
        <v>81</v>
      </c>
      <c r="B1293" s="11" t="s">
        <v>68</v>
      </c>
      <c r="C1293" t="s">
        <v>123</v>
      </c>
      <c r="D1293">
        <v>9.8000000000000007</v>
      </c>
      <c r="E1293">
        <f t="shared" si="46"/>
        <v>9.8000000000000007</v>
      </c>
      <c r="F1293" t="s">
        <v>42</v>
      </c>
      <c r="G1293" t="s">
        <v>42</v>
      </c>
      <c r="H1293" t="s">
        <v>42</v>
      </c>
      <c r="I1293" t="s">
        <v>42</v>
      </c>
      <c r="J1293" t="s">
        <v>42</v>
      </c>
      <c r="K1293" t="s">
        <v>42</v>
      </c>
      <c r="L1293" t="s">
        <v>42</v>
      </c>
      <c r="M1293" t="s">
        <v>122</v>
      </c>
      <c r="N1293" t="s">
        <v>122</v>
      </c>
    </row>
    <row r="1294" spans="1:14" x14ac:dyDescent="0.25">
      <c r="A1294" t="s">
        <v>81</v>
      </c>
      <c r="B1294" s="11" t="s">
        <v>68</v>
      </c>
      <c r="C1294" t="s">
        <v>121</v>
      </c>
      <c r="D1294">
        <v>20.7</v>
      </c>
      <c r="E1294">
        <f t="shared" si="46"/>
        <v>20.7</v>
      </c>
      <c r="F1294" t="s">
        <v>42</v>
      </c>
      <c r="G1294" t="s">
        <v>42</v>
      </c>
      <c r="H1294" t="s">
        <v>42</v>
      </c>
      <c r="I1294" t="s">
        <v>42</v>
      </c>
      <c r="J1294" t="s">
        <v>42</v>
      </c>
      <c r="K1294" t="s">
        <v>42</v>
      </c>
      <c r="L1294" t="s">
        <v>42</v>
      </c>
      <c r="M1294" t="s">
        <v>122</v>
      </c>
      <c r="N1294" t="s">
        <v>122</v>
      </c>
    </row>
    <row r="1295" spans="1:14" x14ac:dyDescent="0.25">
      <c r="A1295" t="s">
        <v>81</v>
      </c>
      <c r="B1295" s="11" t="s">
        <v>68</v>
      </c>
      <c r="C1295" t="s">
        <v>123</v>
      </c>
      <c r="D1295">
        <v>9.6</v>
      </c>
      <c r="E1295">
        <f t="shared" si="46"/>
        <v>9.6</v>
      </c>
      <c r="F1295" t="s">
        <v>42</v>
      </c>
      <c r="G1295" t="s">
        <v>42</v>
      </c>
      <c r="H1295" t="s">
        <v>42</v>
      </c>
      <c r="I1295" t="s">
        <v>42</v>
      </c>
      <c r="J1295" t="s">
        <v>42</v>
      </c>
      <c r="K1295" t="s">
        <v>42</v>
      </c>
      <c r="L1295" t="s">
        <v>42</v>
      </c>
      <c r="M1295" t="s">
        <v>122</v>
      </c>
      <c r="N1295" t="s">
        <v>122</v>
      </c>
    </row>
    <row r="1296" spans="1:14" x14ac:dyDescent="0.25">
      <c r="A1296" t="s">
        <v>81</v>
      </c>
      <c r="B1296" s="11" t="s">
        <v>68</v>
      </c>
      <c r="C1296" t="s">
        <v>121</v>
      </c>
      <c r="D1296">
        <v>8.9</v>
      </c>
      <c r="E1296">
        <f t="shared" si="46"/>
        <v>8.9</v>
      </c>
      <c r="F1296" t="s">
        <v>42</v>
      </c>
      <c r="G1296" t="s">
        <v>42</v>
      </c>
      <c r="H1296" t="s">
        <v>42</v>
      </c>
      <c r="I1296" t="s">
        <v>42</v>
      </c>
      <c r="J1296" t="s">
        <v>42</v>
      </c>
      <c r="K1296" t="s">
        <v>42</v>
      </c>
      <c r="L1296" t="s">
        <v>42</v>
      </c>
      <c r="M1296" t="s">
        <v>122</v>
      </c>
      <c r="N1296" t="s">
        <v>122</v>
      </c>
    </row>
    <row r="1297" spans="1:14" x14ac:dyDescent="0.25">
      <c r="A1297" t="s">
        <v>82</v>
      </c>
      <c r="B1297" s="11" t="s">
        <v>68</v>
      </c>
      <c r="C1297" t="s">
        <v>121</v>
      </c>
      <c r="D1297">
        <f>54+105+52+38.5+117</f>
        <v>366.5</v>
      </c>
      <c r="E1297">
        <v>54</v>
      </c>
      <c r="F1297">
        <v>105</v>
      </c>
      <c r="G1297">
        <v>52</v>
      </c>
      <c r="H1297">
        <v>38.5</v>
      </c>
      <c r="I1297">
        <v>117</v>
      </c>
      <c r="J1297" t="s">
        <v>42</v>
      </c>
      <c r="K1297" t="s">
        <v>42</v>
      </c>
      <c r="L1297" t="s">
        <v>42</v>
      </c>
      <c r="M1297" t="s">
        <v>136</v>
      </c>
      <c r="N1297">
        <v>4.2699999999999996</v>
      </c>
    </row>
    <row r="1298" spans="1:14" x14ac:dyDescent="0.25">
      <c r="A1298" t="s">
        <v>82</v>
      </c>
      <c r="B1298" s="11" t="s">
        <v>68</v>
      </c>
      <c r="C1298" t="s">
        <v>121</v>
      </c>
      <c r="D1298">
        <f>40+29</f>
        <v>69</v>
      </c>
      <c r="E1298">
        <v>40</v>
      </c>
      <c r="F1298">
        <v>29</v>
      </c>
      <c r="G1298" t="s">
        <v>42</v>
      </c>
      <c r="H1298" t="s">
        <v>42</v>
      </c>
      <c r="I1298" t="s">
        <v>42</v>
      </c>
      <c r="J1298" t="s">
        <v>42</v>
      </c>
      <c r="K1298" t="s">
        <v>42</v>
      </c>
      <c r="L1298" t="s">
        <v>42</v>
      </c>
      <c r="M1298" t="s">
        <v>124</v>
      </c>
      <c r="N1298">
        <v>5.2</v>
      </c>
    </row>
    <row r="1299" spans="1:14" x14ac:dyDescent="0.25">
      <c r="A1299" t="s">
        <v>82</v>
      </c>
      <c r="B1299" s="11" t="s">
        <v>116</v>
      </c>
      <c r="C1299" t="s">
        <v>123</v>
      </c>
      <c r="D1299">
        <v>33.5</v>
      </c>
      <c r="E1299">
        <f t="shared" ref="E1299:E1306" si="47">D1299</f>
        <v>33.5</v>
      </c>
      <c r="F1299" t="s">
        <v>42</v>
      </c>
      <c r="G1299" t="s">
        <v>42</v>
      </c>
      <c r="H1299" t="s">
        <v>42</v>
      </c>
      <c r="I1299" t="s">
        <v>42</v>
      </c>
      <c r="J1299" t="s">
        <v>42</v>
      </c>
      <c r="K1299" t="s">
        <v>42</v>
      </c>
      <c r="L1299" t="s">
        <v>42</v>
      </c>
      <c r="M1299" t="s">
        <v>122</v>
      </c>
      <c r="N1299">
        <v>10.6</v>
      </c>
    </row>
    <row r="1300" spans="1:14" x14ac:dyDescent="0.25">
      <c r="A1300" t="s">
        <v>82</v>
      </c>
      <c r="B1300" s="11" t="s">
        <v>116</v>
      </c>
      <c r="C1300" t="s">
        <v>121</v>
      </c>
      <c r="D1300">
        <v>33</v>
      </c>
      <c r="E1300">
        <f t="shared" si="47"/>
        <v>33</v>
      </c>
      <c r="F1300" t="s">
        <v>42</v>
      </c>
      <c r="G1300" t="s">
        <v>42</v>
      </c>
      <c r="H1300" t="s">
        <v>42</v>
      </c>
      <c r="I1300" t="s">
        <v>42</v>
      </c>
      <c r="J1300" t="s">
        <v>42</v>
      </c>
      <c r="K1300" t="s">
        <v>42</v>
      </c>
      <c r="L1300" t="s">
        <v>42</v>
      </c>
      <c r="M1300" t="s">
        <v>122</v>
      </c>
      <c r="N1300">
        <v>10.29</v>
      </c>
    </row>
    <row r="1301" spans="1:14" x14ac:dyDescent="0.25">
      <c r="A1301" t="s">
        <v>82</v>
      </c>
      <c r="B1301" s="11" t="s">
        <v>68</v>
      </c>
      <c r="C1301" t="s">
        <v>121</v>
      </c>
      <c r="D1301">
        <v>88.5</v>
      </c>
      <c r="E1301">
        <f t="shared" si="47"/>
        <v>88.5</v>
      </c>
      <c r="F1301" t="s">
        <v>42</v>
      </c>
      <c r="G1301" t="s">
        <v>42</v>
      </c>
      <c r="H1301" t="s">
        <v>42</v>
      </c>
      <c r="I1301" t="s">
        <v>42</v>
      </c>
      <c r="J1301" t="s">
        <v>42</v>
      </c>
      <c r="K1301" t="s">
        <v>42</v>
      </c>
      <c r="L1301" t="s">
        <v>42</v>
      </c>
      <c r="M1301" t="s">
        <v>122</v>
      </c>
      <c r="N1301">
        <v>12.28</v>
      </c>
    </row>
    <row r="1302" spans="1:14" x14ac:dyDescent="0.25">
      <c r="A1302" t="s">
        <v>82</v>
      </c>
      <c r="B1302" s="11" t="s">
        <v>68</v>
      </c>
      <c r="C1302" t="s">
        <v>121</v>
      </c>
      <c r="D1302">
        <v>99</v>
      </c>
      <c r="E1302">
        <f t="shared" si="47"/>
        <v>99</v>
      </c>
      <c r="F1302" t="s">
        <v>42</v>
      </c>
      <c r="G1302" t="s">
        <v>42</v>
      </c>
      <c r="H1302" t="s">
        <v>42</v>
      </c>
      <c r="I1302" t="s">
        <v>42</v>
      </c>
      <c r="J1302" t="s">
        <v>42</v>
      </c>
      <c r="K1302" t="s">
        <v>42</v>
      </c>
      <c r="L1302" t="s">
        <v>42</v>
      </c>
      <c r="M1302" t="s">
        <v>122</v>
      </c>
      <c r="N1302">
        <v>12.6</v>
      </c>
    </row>
    <row r="1303" spans="1:14" x14ac:dyDescent="0.25">
      <c r="A1303" t="s">
        <v>82</v>
      </c>
      <c r="B1303" s="11" t="s">
        <v>68</v>
      </c>
      <c r="C1303" t="s">
        <v>121</v>
      </c>
      <c r="D1303">
        <v>55</v>
      </c>
      <c r="E1303">
        <f t="shared" si="47"/>
        <v>55</v>
      </c>
      <c r="F1303" t="s">
        <v>42</v>
      </c>
      <c r="G1303" t="s">
        <v>42</v>
      </c>
      <c r="H1303" t="s">
        <v>42</v>
      </c>
      <c r="I1303" t="s">
        <v>42</v>
      </c>
      <c r="J1303" t="s">
        <v>42</v>
      </c>
      <c r="K1303" t="s">
        <v>42</v>
      </c>
      <c r="L1303" t="s">
        <v>42</v>
      </c>
      <c r="M1303" t="s">
        <v>122</v>
      </c>
      <c r="N1303">
        <v>12.59</v>
      </c>
    </row>
    <row r="1304" spans="1:14" x14ac:dyDescent="0.25">
      <c r="A1304" t="s">
        <v>82</v>
      </c>
      <c r="B1304" s="11" t="s">
        <v>68</v>
      </c>
      <c r="C1304" t="s">
        <v>121</v>
      </c>
      <c r="D1304">
        <v>40</v>
      </c>
      <c r="E1304">
        <f t="shared" si="47"/>
        <v>40</v>
      </c>
      <c r="F1304" t="s">
        <v>42</v>
      </c>
      <c r="G1304" t="s">
        <v>42</v>
      </c>
      <c r="H1304" t="s">
        <v>42</v>
      </c>
      <c r="I1304" t="s">
        <v>42</v>
      </c>
      <c r="J1304" t="s">
        <v>42</v>
      </c>
      <c r="K1304" t="s">
        <v>42</v>
      </c>
      <c r="L1304" t="s">
        <v>42</v>
      </c>
      <c r="M1304" t="s">
        <v>122</v>
      </c>
      <c r="N1304">
        <v>11.35</v>
      </c>
    </row>
    <row r="1305" spans="1:14" x14ac:dyDescent="0.25">
      <c r="A1305" t="s">
        <v>82</v>
      </c>
      <c r="B1305" s="11" t="s">
        <v>68</v>
      </c>
      <c r="C1305" t="s">
        <v>121</v>
      </c>
      <c r="D1305">
        <v>47</v>
      </c>
      <c r="E1305">
        <f t="shared" si="47"/>
        <v>47</v>
      </c>
      <c r="F1305" t="s">
        <v>42</v>
      </c>
      <c r="G1305" t="s">
        <v>42</v>
      </c>
      <c r="H1305" t="s">
        <v>42</v>
      </c>
      <c r="I1305" t="s">
        <v>42</v>
      </c>
      <c r="J1305" t="s">
        <v>42</v>
      </c>
      <c r="K1305" t="s">
        <v>42</v>
      </c>
      <c r="L1305" t="s">
        <v>42</v>
      </c>
      <c r="M1305" t="s">
        <v>122</v>
      </c>
      <c r="N1305">
        <v>13.82</v>
      </c>
    </row>
    <row r="1306" spans="1:14" x14ac:dyDescent="0.25">
      <c r="A1306" t="s">
        <v>82</v>
      </c>
      <c r="B1306" s="11" t="s">
        <v>68</v>
      </c>
      <c r="C1306" t="s">
        <v>123</v>
      </c>
      <c r="D1306">
        <v>35</v>
      </c>
      <c r="E1306">
        <f t="shared" si="47"/>
        <v>35</v>
      </c>
      <c r="F1306" t="s">
        <v>42</v>
      </c>
      <c r="G1306" t="s">
        <v>42</v>
      </c>
      <c r="H1306" t="s">
        <v>42</v>
      </c>
      <c r="I1306" t="s">
        <v>42</v>
      </c>
      <c r="J1306" t="s">
        <v>42</v>
      </c>
      <c r="K1306" t="s">
        <v>42</v>
      </c>
      <c r="L1306" t="s">
        <v>42</v>
      </c>
      <c r="M1306" t="s">
        <v>122</v>
      </c>
      <c r="N1306">
        <v>14.19</v>
      </c>
    </row>
    <row r="1307" spans="1:14" x14ac:dyDescent="0.25">
      <c r="A1307" t="s">
        <v>82</v>
      </c>
      <c r="B1307" s="11" t="s">
        <v>68</v>
      </c>
      <c r="C1307" t="s">
        <v>121</v>
      </c>
      <c r="D1307">
        <f>32+36+26+22+25</f>
        <v>141</v>
      </c>
      <c r="E1307">
        <v>32</v>
      </c>
      <c r="F1307">
        <v>36</v>
      </c>
      <c r="G1307">
        <v>26</v>
      </c>
      <c r="H1307">
        <v>22</v>
      </c>
      <c r="I1307">
        <v>25</v>
      </c>
      <c r="J1307" t="s">
        <v>42</v>
      </c>
      <c r="K1307" t="s">
        <v>42</v>
      </c>
      <c r="L1307" t="s">
        <v>42</v>
      </c>
      <c r="M1307" t="s">
        <v>136</v>
      </c>
      <c r="N1307">
        <v>6.67</v>
      </c>
    </row>
    <row r="1308" spans="1:14" x14ac:dyDescent="0.25">
      <c r="A1308" t="s">
        <v>82</v>
      </c>
      <c r="B1308" s="11" t="s">
        <v>68</v>
      </c>
      <c r="C1308" t="s">
        <v>121</v>
      </c>
      <c r="D1308">
        <v>27</v>
      </c>
      <c r="E1308">
        <f t="shared" ref="E1308:E1312" si="48">D1308</f>
        <v>27</v>
      </c>
      <c r="F1308" t="s">
        <v>42</v>
      </c>
      <c r="G1308" t="s">
        <v>42</v>
      </c>
      <c r="H1308" t="s">
        <v>42</v>
      </c>
      <c r="I1308" t="s">
        <v>42</v>
      </c>
      <c r="J1308" t="s">
        <v>42</v>
      </c>
      <c r="K1308" t="s">
        <v>42</v>
      </c>
      <c r="L1308" t="s">
        <v>42</v>
      </c>
      <c r="M1308" t="s">
        <v>122</v>
      </c>
      <c r="N1308">
        <v>6.97</v>
      </c>
    </row>
    <row r="1309" spans="1:14" x14ac:dyDescent="0.25">
      <c r="A1309" t="s">
        <v>82</v>
      </c>
      <c r="B1309" s="11" t="s">
        <v>68</v>
      </c>
      <c r="C1309" t="s">
        <v>121</v>
      </c>
      <c r="D1309">
        <v>100</v>
      </c>
      <c r="E1309">
        <f t="shared" si="48"/>
        <v>100</v>
      </c>
      <c r="F1309" t="s">
        <v>42</v>
      </c>
      <c r="G1309" t="s">
        <v>42</v>
      </c>
      <c r="H1309" t="s">
        <v>42</v>
      </c>
      <c r="I1309" t="s">
        <v>42</v>
      </c>
      <c r="J1309" t="s">
        <v>42</v>
      </c>
      <c r="K1309" t="s">
        <v>42</v>
      </c>
      <c r="L1309" t="s">
        <v>42</v>
      </c>
      <c r="M1309" t="s">
        <v>122</v>
      </c>
      <c r="N1309">
        <v>7.01</v>
      </c>
    </row>
    <row r="1310" spans="1:14" x14ac:dyDescent="0.25">
      <c r="A1310" t="s">
        <v>82</v>
      </c>
      <c r="B1310" s="11" t="s">
        <v>68</v>
      </c>
      <c r="C1310" t="s">
        <v>121</v>
      </c>
      <c r="D1310">
        <v>92</v>
      </c>
      <c r="E1310">
        <f t="shared" si="48"/>
        <v>92</v>
      </c>
      <c r="F1310" t="s">
        <v>42</v>
      </c>
      <c r="G1310" t="s">
        <v>42</v>
      </c>
      <c r="H1310" t="s">
        <v>42</v>
      </c>
      <c r="I1310" t="s">
        <v>42</v>
      </c>
      <c r="J1310" t="s">
        <v>42</v>
      </c>
      <c r="K1310" t="s">
        <v>42</v>
      </c>
      <c r="L1310" t="s">
        <v>42</v>
      </c>
      <c r="M1310" t="s">
        <v>122</v>
      </c>
      <c r="N1310">
        <v>7.02</v>
      </c>
    </row>
    <row r="1311" spans="1:14" x14ac:dyDescent="0.25">
      <c r="A1311" t="s">
        <v>82</v>
      </c>
      <c r="B1311" s="11" t="s">
        <v>68</v>
      </c>
      <c r="C1311" t="s">
        <v>121</v>
      </c>
      <c r="D1311">
        <v>103</v>
      </c>
      <c r="E1311">
        <f t="shared" si="48"/>
        <v>103</v>
      </c>
      <c r="F1311" t="s">
        <v>42</v>
      </c>
      <c r="G1311" t="s">
        <v>42</v>
      </c>
      <c r="H1311" t="s">
        <v>42</v>
      </c>
      <c r="I1311" t="s">
        <v>42</v>
      </c>
      <c r="J1311" t="s">
        <v>42</v>
      </c>
      <c r="K1311" t="s">
        <v>42</v>
      </c>
      <c r="L1311" t="s">
        <v>42</v>
      </c>
      <c r="M1311" t="s">
        <v>122</v>
      </c>
      <c r="N1311">
        <v>8.0299999999999994</v>
      </c>
    </row>
    <row r="1312" spans="1:14" x14ac:dyDescent="0.25">
      <c r="A1312" t="s">
        <v>82</v>
      </c>
      <c r="B1312" s="11" t="s">
        <v>68</v>
      </c>
      <c r="C1312" t="s">
        <v>121</v>
      </c>
      <c r="D1312">
        <v>34</v>
      </c>
      <c r="E1312">
        <f t="shared" si="48"/>
        <v>34</v>
      </c>
      <c r="F1312" t="s">
        <v>42</v>
      </c>
      <c r="G1312" t="s">
        <v>42</v>
      </c>
      <c r="H1312" t="s">
        <v>42</v>
      </c>
      <c r="I1312" t="s">
        <v>42</v>
      </c>
      <c r="J1312" t="s">
        <v>42</v>
      </c>
      <c r="K1312" t="s">
        <v>42</v>
      </c>
      <c r="L1312" t="s">
        <v>42</v>
      </c>
      <c r="M1312" t="s">
        <v>122</v>
      </c>
      <c r="N1312">
        <v>13.26</v>
      </c>
    </row>
    <row r="1313" spans="1:14" x14ac:dyDescent="0.25">
      <c r="A1313" t="s">
        <v>82</v>
      </c>
      <c r="B1313" s="11" t="s">
        <v>68</v>
      </c>
      <c r="C1313" t="s">
        <v>121</v>
      </c>
      <c r="D1313">
        <f>25+15</f>
        <v>40</v>
      </c>
      <c r="E1313">
        <v>25</v>
      </c>
      <c r="F1313">
        <v>15</v>
      </c>
      <c r="G1313" t="s">
        <v>42</v>
      </c>
      <c r="H1313" t="s">
        <v>42</v>
      </c>
      <c r="I1313" t="s">
        <v>42</v>
      </c>
      <c r="J1313" t="s">
        <v>42</v>
      </c>
      <c r="K1313" t="s">
        <v>42</v>
      </c>
      <c r="L1313" t="s">
        <v>42</v>
      </c>
      <c r="M1313" t="s">
        <v>124</v>
      </c>
      <c r="N1313">
        <v>14.19</v>
      </c>
    </row>
    <row r="1314" spans="1:14" x14ac:dyDescent="0.25">
      <c r="A1314" t="s">
        <v>82</v>
      </c>
      <c r="B1314" s="11" t="s">
        <v>68</v>
      </c>
      <c r="C1314" t="s">
        <v>121</v>
      </c>
      <c r="D1314">
        <v>35</v>
      </c>
      <c r="E1314">
        <f t="shared" ref="E1314:E1317" si="49">D1314</f>
        <v>35</v>
      </c>
      <c r="F1314" t="s">
        <v>42</v>
      </c>
      <c r="G1314" t="s">
        <v>42</v>
      </c>
      <c r="H1314" t="s">
        <v>42</v>
      </c>
      <c r="I1314" t="s">
        <v>42</v>
      </c>
      <c r="J1314" t="s">
        <v>42</v>
      </c>
      <c r="K1314" t="s">
        <v>42</v>
      </c>
      <c r="L1314" t="s">
        <v>42</v>
      </c>
      <c r="M1314" t="s">
        <v>122</v>
      </c>
      <c r="N1314">
        <v>8.31</v>
      </c>
    </row>
    <row r="1315" spans="1:14" x14ac:dyDescent="0.25">
      <c r="A1315" t="s">
        <v>82</v>
      </c>
      <c r="B1315" s="11" t="s">
        <v>68</v>
      </c>
      <c r="C1315" t="s">
        <v>121</v>
      </c>
      <c r="D1315">
        <v>46</v>
      </c>
      <c r="E1315">
        <f t="shared" si="49"/>
        <v>46</v>
      </c>
      <c r="F1315" t="s">
        <v>42</v>
      </c>
      <c r="G1315" t="s">
        <v>42</v>
      </c>
      <c r="H1315" t="s">
        <v>42</v>
      </c>
      <c r="I1315" t="s">
        <v>42</v>
      </c>
      <c r="J1315" t="s">
        <v>42</v>
      </c>
      <c r="K1315" t="s">
        <v>42</v>
      </c>
      <c r="L1315" t="s">
        <v>42</v>
      </c>
      <c r="M1315" t="s">
        <v>122</v>
      </c>
      <c r="N1315">
        <v>9.09</v>
      </c>
    </row>
    <row r="1316" spans="1:14" x14ac:dyDescent="0.25">
      <c r="A1316" t="s">
        <v>82</v>
      </c>
      <c r="B1316" s="11" t="s">
        <v>68</v>
      </c>
      <c r="C1316" t="s">
        <v>121</v>
      </c>
      <c r="D1316">
        <v>109</v>
      </c>
      <c r="E1316">
        <f t="shared" si="49"/>
        <v>109</v>
      </c>
      <c r="F1316" t="s">
        <v>42</v>
      </c>
      <c r="G1316" t="s">
        <v>42</v>
      </c>
      <c r="H1316" t="s">
        <v>42</v>
      </c>
      <c r="I1316" t="s">
        <v>42</v>
      </c>
      <c r="J1316" t="s">
        <v>42</v>
      </c>
      <c r="K1316" t="s">
        <v>42</v>
      </c>
      <c r="L1316" t="s">
        <v>42</v>
      </c>
      <c r="M1316" t="s">
        <v>122</v>
      </c>
      <c r="N1316">
        <v>9.11</v>
      </c>
    </row>
    <row r="1317" spans="1:14" x14ac:dyDescent="0.25">
      <c r="A1317" t="s">
        <v>82</v>
      </c>
      <c r="B1317" s="11" t="s">
        <v>68</v>
      </c>
      <c r="C1317" t="s">
        <v>121</v>
      </c>
      <c r="D1317">
        <v>45</v>
      </c>
      <c r="E1317">
        <f t="shared" si="49"/>
        <v>45</v>
      </c>
      <c r="F1317" t="s">
        <v>42</v>
      </c>
      <c r="G1317" t="s">
        <v>42</v>
      </c>
      <c r="H1317" t="s">
        <v>42</v>
      </c>
      <c r="I1317" t="s">
        <v>42</v>
      </c>
      <c r="J1317" t="s">
        <v>42</v>
      </c>
      <c r="K1317" t="s">
        <v>42</v>
      </c>
      <c r="L1317" t="s">
        <v>42</v>
      </c>
      <c r="M1317" t="s">
        <v>122</v>
      </c>
      <c r="N1317">
        <v>9.35</v>
      </c>
    </row>
    <row r="1318" spans="1:14" x14ac:dyDescent="0.25">
      <c r="A1318" t="s">
        <v>82</v>
      </c>
      <c r="B1318" s="11" t="s">
        <v>68</v>
      </c>
      <c r="C1318" t="s">
        <v>121</v>
      </c>
      <c r="D1318">
        <f>52+110+47+53+22</f>
        <v>284</v>
      </c>
      <c r="E1318">
        <v>52</v>
      </c>
      <c r="F1318">
        <v>110</v>
      </c>
      <c r="G1318">
        <v>47</v>
      </c>
      <c r="H1318">
        <v>53</v>
      </c>
      <c r="I1318">
        <v>22</v>
      </c>
      <c r="J1318" t="s">
        <v>42</v>
      </c>
      <c r="K1318" t="s">
        <v>42</v>
      </c>
      <c r="L1318" t="s">
        <v>42</v>
      </c>
      <c r="M1318" t="s">
        <v>136</v>
      </c>
      <c r="N1318">
        <v>10.14</v>
      </c>
    </row>
    <row r="1319" spans="1:14" x14ac:dyDescent="0.25">
      <c r="A1319" t="s">
        <v>82</v>
      </c>
      <c r="B1319" s="11" t="s">
        <v>68</v>
      </c>
      <c r="C1319" t="s">
        <v>121</v>
      </c>
      <c r="D1319">
        <v>92</v>
      </c>
      <c r="E1319">
        <f>D1319</f>
        <v>92</v>
      </c>
      <c r="F1319" t="s">
        <v>42</v>
      </c>
      <c r="G1319" t="s">
        <v>42</v>
      </c>
      <c r="H1319" t="s">
        <v>42</v>
      </c>
      <c r="I1319" t="s">
        <v>42</v>
      </c>
      <c r="J1319" t="s">
        <v>42</v>
      </c>
      <c r="K1319" t="s">
        <v>42</v>
      </c>
      <c r="L1319" t="s">
        <v>42</v>
      </c>
      <c r="M1319" t="s">
        <v>122</v>
      </c>
      <c r="N1319">
        <v>12.95</v>
      </c>
    </row>
    <row r="1320" spans="1:14" x14ac:dyDescent="0.25">
      <c r="A1320" t="s">
        <v>82</v>
      </c>
      <c r="B1320" s="11" t="s">
        <v>68</v>
      </c>
      <c r="C1320" t="s">
        <v>121</v>
      </c>
      <c r="D1320">
        <f>88+43</f>
        <v>131</v>
      </c>
      <c r="E1320">
        <v>88</v>
      </c>
      <c r="F1320">
        <v>43</v>
      </c>
      <c r="G1320" t="s">
        <v>42</v>
      </c>
      <c r="H1320" t="s">
        <v>42</v>
      </c>
      <c r="I1320" t="s">
        <v>42</v>
      </c>
      <c r="J1320" t="s">
        <v>42</v>
      </c>
      <c r="K1320" t="s">
        <v>42</v>
      </c>
      <c r="L1320" t="s">
        <v>42</v>
      </c>
      <c r="M1320" t="s">
        <v>124</v>
      </c>
      <c r="N1320">
        <v>11.69</v>
      </c>
    </row>
    <row r="1321" spans="1:14" x14ac:dyDescent="0.25">
      <c r="A1321" t="s">
        <v>82</v>
      </c>
      <c r="B1321" s="11" t="s">
        <v>68</v>
      </c>
      <c r="C1321" t="s">
        <v>121</v>
      </c>
      <c r="D1321">
        <v>18</v>
      </c>
      <c r="E1321">
        <f>D1321</f>
        <v>18</v>
      </c>
      <c r="F1321" t="s">
        <v>42</v>
      </c>
      <c r="G1321" t="s">
        <v>42</v>
      </c>
      <c r="H1321" t="s">
        <v>42</v>
      </c>
      <c r="I1321" t="s">
        <v>42</v>
      </c>
      <c r="J1321" t="s">
        <v>42</v>
      </c>
      <c r="K1321" t="s">
        <v>42</v>
      </c>
      <c r="L1321" t="s">
        <v>42</v>
      </c>
      <c r="M1321" t="s">
        <v>122</v>
      </c>
      <c r="N1321">
        <v>11.06</v>
      </c>
    </row>
    <row r="1322" spans="1:14" x14ac:dyDescent="0.25">
      <c r="A1322" t="s">
        <v>82</v>
      </c>
      <c r="B1322" s="11" t="s">
        <v>68</v>
      </c>
      <c r="C1322" t="s">
        <v>121</v>
      </c>
      <c r="D1322">
        <f>74+43</f>
        <v>117</v>
      </c>
      <c r="E1322">
        <v>74</v>
      </c>
      <c r="F1322">
        <v>43</v>
      </c>
      <c r="G1322" t="s">
        <v>42</v>
      </c>
      <c r="H1322" t="s">
        <v>42</v>
      </c>
      <c r="I1322" t="s">
        <v>42</v>
      </c>
      <c r="J1322" t="s">
        <v>42</v>
      </c>
      <c r="K1322" t="s">
        <v>42</v>
      </c>
      <c r="L1322" t="s">
        <v>42</v>
      </c>
      <c r="M1322" t="s">
        <v>124</v>
      </c>
      <c r="N1322">
        <v>9</v>
      </c>
    </row>
    <row r="1323" spans="1:14" x14ac:dyDescent="0.25">
      <c r="A1323" t="s">
        <v>82</v>
      </c>
      <c r="B1323" s="11" t="s">
        <v>68</v>
      </c>
      <c r="C1323" t="s">
        <v>123</v>
      </c>
      <c r="D1323">
        <v>72</v>
      </c>
      <c r="E1323">
        <f t="shared" ref="E1323:E1326" si="50">D1323</f>
        <v>72</v>
      </c>
      <c r="F1323" t="s">
        <v>42</v>
      </c>
      <c r="G1323" t="s">
        <v>42</v>
      </c>
      <c r="H1323" t="s">
        <v>42</v>
      </c>
      <c r="I1323" t="s">
        <v>42</v>
      </c>
      <c r="J1323" t="s">
        <v>42</v>
      </c>
      <c r="K1323" t="s">
        <v>42</v>
      </c>
      <c r="L1323" t="s">
        <v>42</v>
      </c>
      <c r="M1323" t="s">
        <v>122</v>
      </c>
      <c r="N1323">
        <v>9.99</v>
      </c>
    </row>
    <row r="1324" spans="1:14" x14ac:dyDescent="0.25">
      <c r="A1324" t="s">
        <v>82</v>
      </c>
      <c r="B1324" s="11" t="s">
        <v>68</v>
      </c>
      <c r="C1324" t="s">
        <v>123</v>
      </c>
      <c r="D1324">
        <v>44</v>
      </c>
      <c r="E1324">
        <f t="shared" si="50"/>
        <v>44</v>
      </c>
      <c r="F1324" t="s">
        <v>42</v>
      </c>
      <c r="G1324" t="s">
        <v>42</v>
      </c>
      <c r="H1324" t="s">
        <v>42</v>
      </c>
      <c r="I1324" t="s">
        <v>42</v>
      </c>
      <c r="J1324" t="s">
        <v>42</v>
      </c>
      <c r="K1324" t="s">
        <v>42</v>
      </c>
      <c r="L1324" t="s">
        <v>42</v>
      </c>
      <c r="M1324" t="s">
        <v>122</v>
      </c>
      <c r="N1324">
        <v>13.36</v>
      </c>
    </row>
    <row r="1325" spans="1:14" x14ac:dyDescent="0.25">
      <c r="A1325" t="s">
        <v>82</v>
      </c>
      <c r="B1325" s="11" t="s">
        <v>68</v>
      </c>
      <c r="C1325" t="s">
        <v>123</v>
      </c>
      <c r="D1325">
        <v>33</v>
      </c>
      <c r="E1325">
        <f t="shared" si="50"/>
        <v>33</v>
      </c>
      <c r="F1325" t="s">
        <v>42</v>
      </c>
      <c r="G1325" t="s">
        <v>42</v>
      </c>
      <c r="H1325" t="s">
        <v>42</v>
      </c>
      <c r="I1325" t="s">
        <v>42</v>
      </c>
      <c r="J1325" t="s">
        <v>42</v>
      </c>
      <c r="K1325" t="s">
        <v>42</v>
      </c>
      <c r="L1325" t="s">
        <v>42</v>
      </c>
      <c r="M1325" t="s">
        <v>122</v>
      </c>
      <c r="N1325">
        <v>12.93</v>
      </c>
    </row>
    <row r="1326" spans="1:14" x14ac:dyDescent="0.25">
      <c r="A1326" t="s">
        <v>82</v>
      </c>
      <c r="B1326" s="11" t="s">
        <v>68</v>
      </c>
      <c r="C1326" t="s">
        <v>123</v>
      </c>
      <c r="D1326">
        <v>85</v>
      </c>
      <c r="E1326">
        <f t="shared" si="50"/>
        <v>85</v>
      </c>
      <c r="F1326" t="s">
        <v>42</v>
      </c>
      <c r="G1326" t="s">
        <v>42</v>
      </c>
      <c r="H1326" t="s">
        <v>42</v>
      </c>
      <c r="I1326" t="s">
        <v>42</v>
      </c>
      <c r="J1326" t="s">
        <v>42</v>
      </c>
      <c r="K1326" t="s">
        <v>42</v>
      </c>
      <c r="L1326" t="s">
        <v>42</v>
      </c>
      <c r="M1326" t="s">
        <v>122</v>
      </c>
      <c r="N1326">
        <v>11.9</v>
      </c>
    </row>
    <row r="1327" spans="1:14" x14ac:dyDescent="0.25">
      <c r="A1327" t="s">
        <v>82</v>
      </c>
      <c r="B1327" s="11" t="s">
        <v>68</v>
      </c>
      <c r="C1327" t="s">
        <v>121</v>
      </c>
      <c r="D1327">
        <f>24+77+26.5+58.44+54.4+68.35+24.4+94.5</f>
        <v>427.59</v>
      </c>
      <c r="E1327">
        <v>24</v>
      </c>
      <c r="F1327">
        <v>77</v>
      </c>
      <c r="G1327">
        <v>26.5</v>
      </c>
      <c r="H1327">
        <v>58.44</v>
      </c>
      <c r="I1327">
        <v>54.4</v>
      </c>
      <c r="J1327">
        <v>68.349999999999994</v>
      </c>
      <c r="K1327">
        <v>24.4</v>
      </c>
      <c r="L1327">
        <v>94.5</v>
      </c>
      <c r="M1327" t="s">
        <v>137</v>
      </c>
      <c r="N1327">
        <v>4.28</v>
      </c>
    </row>
    <row r="1328" spans="1:14" x14ac:dyDescent="0.25">
      <c r="A1328" t="s">
        <v>82</v>
      </c>
      <c r="B1328" s="11" t="s">
        <v>68</v>
      </c>
      <c r="C1328" t="s">
        <v>121</v>
      </c>
      <c r="D1328">
        <f>23+45.5+69+65+58+78+26</f>
        <v>364.5</v>
      </c>
      <c r="E1328">
        <v>23</v>
      </c>
      <c r="F1328">
        <v>45.5</v>
      </c>
      <c r="G1328">
        <v>69</v>
      </c>
      <c r="H1328">
        <v>65</v>
      </c>
      <c r="I1328">
        <v>58</v>
      </c>
      <c r="J1328">
        <v>78</v>
      </c>
      <c r="K1328">
        <v>26</v>
      </c>
      <c r="L1328" t="s">
        <v>42</v>
      </c>
      <c r="M1328" t="s">
        <v>138</v>
      </c>
      <c r="N1328">
        <v>7.24</v>
      </c>
    </row>
    <row r="1329" spans="1:14" x14ac:dyDescent="0.25">
      <c r="A1329" t="s">
        <v>82</v>
      </c>
      <c r="B1329" s="11" t="s">
        <v>68</v>
      </c>
      <c r="C1329" t="s">
        <v>123</v>
      </c>
      <c r="D1329">
        <v>67.5</v>
      </c>
      <c r="E1329">
        <f>D1329</f>
        <v>67.5</v>
      </c>
      <c r="F1329" t="s">
        <v>42</v>
      </c>
      <c r="G1329" t="s">
        <v>42</v>
      </c>
      <c r="H1329" t="s">
        <v>42</v>
      </c>
      <c r="I1329" t="s">
        <v>42</v>
      </c>
      <c r="J1329" t="s">
        <v>42</v>
      </c>
      <c r="K1329" t="s">
        <v>42</v>
      </c>
      <c r="L1329" t="s">
        <v>42</v>
      </c>
      <c r="M1329" t="s">
        <v>122</v>
      </c>
      <c r="N1329">
        <v>7.57</v>
      </c>
    </row>
    <row r="1330" spans="1:14" x14ac:dyDescent="0.25">
      <c r="A1330" t="s">
        <v>82</v>
      </c>
      <c r="B1330" s="11" t="s">
        <v>68</v>
      </c>
      <c r="C1330" t="s">
        <v>121</v>
      </c>
      <c r="D1330">
        <f>53+23+20+30+45+56</f>
        <v>227</v>
      </c>
      <c r="E1330">
        <v>53</v>
      </c>
      <c r="F1330">
        <v>23</v>
      </c>
      <c r="G1330">
        <v>20</v>
      </c>
      <c r="H1330">
        <v>30</v>
      </c>
      <c r="I1330">
        <v>45</v>
      </c>
      <c r="J1330">
        <v>56</v>
      </c>
      <c r="K1330" t="s">
        <v>42</v>
      </c>
      <c r="L1330" t="s">
        <v>42</v>
      </c>
      <c r="M1330" t="s">
        <v>139</v>
      </c>
      <c r="N1330">
        <v>9.69</v>
      </c>
    </row>
    <row r="1331" spans="1:14" x14ac:dyDescent="0.25">
      <c r="A1331" t="s">
        <v>82</v>
      </c>
      <c r="B1331" s="11" t="s">
        <v>68</v>
      </c>
      <c r="C1331" t="s">
        <v>121</v>
      </c>
      <c r="D1331">
        <v>55</v>
      </c>
      <c r="E1331">
        <f t="shared" ref="E1331:E1338" si="51">D1331</f>
        <v>55</v>
      </c>
      <c r="F1331" t="s">
        <v>42</v>
      </c>
      <c r="G1331" t="s">
        <v>42</v>
      </c>
      <c r="H1331" t="s">
        <v>42</v>
      </c>
      <c r="I1331" t="s">
        <v>42</v>
      </c>
      <c r="J1331" t="s">
        <v>42</v>
      </c>
      <c r="K1331" t="s">
        <v>42</v>
      </c>
      <c r="L1331" t="s">
        <v>42</v>
      </c>
      <c r="M1331" t="s">
        <v>122</v>
      </c>
      <c r="N1331">
        <v>12.4</v>
      </c>
    </row>
    <row r="1332" spans="1:14" x14ac:dyDescent="0.25">
      <c r="A1332" t="s">
        <v>82</v>
      </c>
      <c r="B1332" s="11" t="s">
        <v>116</v>
      </c>
      <c r="C1332" t="s">
        <v>123</v>
      </c>
      <c r="D1332">
        <v>31</v>
      </c>
      <c r="E1332">
        <f t="shared" si="51"/>
        <v>31</v>
      </c>
      <c r="F1332" t="s">
        <v>42</v>
      </c>
      <c r="G1332" t="s">
        <v>42</v>
      </c>
      <c r="H1332" t="s">
        <v>42</v>
      </c>
      <c r="I1332" t="s">
        <v>42</v>
      </c>
      <c r="J1332" t="s">
        <v>42</v>
      </c>
      <c r="K1332" t="s">
        <v>42</v>
      </c>
      <c r="L1332" t="s">
        <v>42</v>
      </c>
      <c r="M1332" t="s">
        <v>122</v>
      </c>
      <c r="N1332">
        <v>12.44</v>
      </c>
    </row>
    <row r="1333" spans="1:14" x14ac:dyDescent="0.25">
      <c r="A1333" t="s">
        <v>82</v>
      </c>
      <c r="B1333" s="11" t="s">
        <v>68</v>
      </c>
      <c r="C1333" t="s">
        <v>121</v>
      </c>
      <c r="D1333">
        <v>54</v>
      </c>
      <c r="E1333">
        <f t="shared" si="51"/>
        <v>54</v>
      </c>
      <c r="F1333" t="s">
        <v>42</v>
      </c>
      <c r="G1333" t="s">
        <v>42</v>
      </c>
      <c r="H1333" t="s">
        <v>42</v>
      </c>
      <c r="I1333" t="s">
        <v>42</v>
      </c>
      <c r="J1333" t="s">
        <v>42</v>
      </c>
      <c r="K1333" t="s">
        <v>42</v>
      </c>
      <c r="L1333" t="s">
        <v>42</v>
      </c>
      <c r="M1333" t="s">
        <v>122</v>
      </c>
      <c r="N1333">
        <v>10.11</v>
      </c>
    </row>
    <row r="1334" spans="1:14" x14ac:dyDescent="0.25">
      <c r="A1334" t="s">
        <v>82</v>
      </c>
      <c r="B1334" s="11" t="s">
        <v>68</v>
      </c>
      <c r="C1334" t="s">
        <v>121</v>
      </c>
      <c r="D1334">
        <v>25</v>
      </c>
      <c r="E1334">
        <f t="shared" si="51"/>
        <v>25</v>
      </c>
      <c r="F1334" t="s">
        <v>42</v>
      </c>
      <c r="G1334" t="s">
        <v>42</v>
      </c>
      <c r="H1334" t="s">
        <v>42</v>
      </c>
      <c r="I1334" t="s">
        <v>42</v>
      </c>
      <c r="J1334" t="s">
        <v>42</v>
      </c>
      <c r="K1334" t="s">
        <v>42</v>
      </c>
      <c r="L1334" t="s">
        <v>42</v>
      </c>
      <c r="M1334" t="s">
        <v>122</v>
      </c>
      <c r="N1334">
        <v>13.35</v>
      </c>
    </row>
    <row r="1335" spans="1:14" x14ac:dyDescent="0.25">
      <c r="A1335" t="s">
        <v>82</v>
      </c>
      <c r="B1335" s="11" t="s">
        <v>68</v>
      </c>
      <c r="C1335" t="s">
        <v>121</v>
      </c>
      <c r="D1335">
        <v>111</v>
      </c>
      <c r="E1335">
        <f t="shared" si="51"/>
        <v>111</v>
      </c>
      <c r="F1335" t="s">
        <v>42</v>
      </c>
      <c r="G1335" t="s">
        <v>42</v>
      </c>
      <c r="H1335" t="s">
        <v>42</v>
      </c>
      <c r="I1335" t="s">
        <v>42</v>
      </c>
      <c r="J1335" t="s">
        <v>42</v>
      </c>
      <c r="K1335" t="s">
        <v>42</v>
      </c>
      <c r="L1335" t="s">
        <v>42</v>
      </c>
      <c r="M1335" t="s">
        <v>122</v>
      </c>
      <c r="N1335">
        <v>12.4</v>
      </c>
    </row>
    <row r="1336" spans="1:14" x14ac:dyDescent="0.25">
      <c r="A1336" t="s">
        <v>82</v>
      </c>
      <c r="B1336" s="11" t="s">
        <v>68</v>
      </c>
      <c r="C1336" t="s">
        <v>121</v>
      </c>
      <c r="D1336">
        <v>21</v>
      </c>
      <c r="E1336">
        <f t="shared" si="51"/>
        <v>21</v>
      </c>
      <c r="F1336" t="s">
        <v>42</v>
      </c>
      <c r="G1336" t="s">
        <v>42</v>
      </c>
      <c r="H1336" t="s">
        <v>42</v>
      </c>
      <c r="I1336" t="s">
        <v>42</v>
      </c>
      <c r="J1336" t="s">
        <v>42</v>
      </c>
      <c r="K1336" t="s">
        <v>42</v>
      </c>
      <c r="L1336" t="s">
        <v>42</v>
      </c>
      <c r="M1336" t="s">
        <v>122</v>
      </c>
      <c r="N1336">
        <v>13.01</v>
      </c>
    </row>
    <row r="1337" spans="1:14" x14ac:dyDescent="0.25">
      <c r="A1337" t="s">
        <v>82</v>
      </c>
      <c r="B1337" s="11" t="s">
        <v>68</v>
      </c>
      <c r="C1337" t="s">
        <v>121</v>
      </c>
      <c r="D1337">
        <v>55</v>
      </c>
      <c r="E1337">
        <f t="shared" si="51"/>
        <v>55</v>
      </c>
      <c r="F1337" t="s">
        <v>42</v>
      </c>
      <c r="G1337" t="s">
        <v>42</v>
      </c>
      <c r="H1337" t="s">
        <v>42</v>
      </c>
      <c r="I1337" t="s">
        <v>42</v>
      </c>
      <c r="J1337" t="s">
        <v>42</v>
      </c>
      <c r="K1337" t="s">
        <v>42</v>
      </c>
      <c r="L1337" t="s">
        <v>42</v>
      </c>
      <c r="M1337" t="s">
        <v>122</v>
      </c>
      <c r="N1337">
        <v>13.31</v>
      </c>
    </row>
    <row r="1338" spans="1:14" x14ac:dyDescent="0.25">
      <c r="A1338" t="s">
        <v>82</v>
      </c>
      <c r="B1338" s="11" t="s">
        <v>68</v>
      </c>
      <c r="C1338" t="s">
        <v>121</v>
      </c>
      <c r="D1338">
        <v>108</v>
      </c>
      <c r="E1338">
        <f t="shared" si="51"/>
        <v>108</v>
      </c>
      <c r="F1338" t="s">
        <v>42</v>
      </c>
      <c r="G1338" t="s">
        <v>42</v>
      </c>
      <c r="H1338" t="s">
        <v>42</v>
      </c>
      <c r="I1338" t="s">
        <v>42</v>
      </c>
      <c r="J1338" t="s">
        <v>42</v>
      </c>
      <c r="K1338" t="s">
        <v>42</v>
      </c>
      <c r="L1338" t="s">
        <v>42</v>
      </c>
      <c r="M1338" t="s">
        <v>122</v>
      </c>
      <c r="N1338">
        <v>8.6</v>
      </c>
    </row>
    <row r="1339" spans="1:14" x14ac:dyDescent="0.25">
      <c r="A1339" t="s">
        <v>82</v>
      </c>
      <c r="B1339" s="11" t="s">
        <v>68</v>
      </c>
      <c r="C1339" t="s">
        <v>123</v>
      </c>
      <c r="D1339">
        <f>53.5+61</f>
        <v>114.5</v>
      </c>
      <c r="E1339">
        <v>53.5</v>
      </c>
      <c r="F1339">
        <v>61</v>
      </c>
      <c r="G1339" t="s">
        <v>42</v>
      </c>
      <c r="H1339" t="s">
        <v>42</v>
      </c>
      <c r="I1339" t="s">
        <v>42</v>
      </c>
      <c r="J1339" t="s">
        <v>42</v>
      </c>
      <c r="K1339" t="s">
        <v>42</v>
      </c>
      <c r="L1339" t="s">
        <v>42</v>
      </c>
      <c r="M1339" t="s">
        <v>124</v>
      </c>
      <c r="N1339">
        <v>14.27</v>
      </c>
    </row>
    <row r="1340" spans="1:14" x14ac:dyDescent="0.25">
      <c r="A1340" t="s">
        <v>82</v>
      </c>
      <c r="B1340" s="11" t="s">
        <v>68</v>
      </c>
      <c r="C1340" t="s">
        <v>123</v>
      </c>
      <c r="D1340">
        <v>66.400000000000006</v>
      </c>
      <c r="E1340">
        <f t="shared" ref="E1340:E1341" si="52">D1340</f>
        <v>66.400000000000006</v>
      </c>
      <c r="F1340" t="s">
        <v>42</v>
      </c>
      <c r="G1340" t="s">
        <v>42</v>
      </c>
      <c r="H1340" t="s">
        <v>42</v>
      </c>
      <c r="I1340" t="s">
        <v>42</v>
      </c>
      <c r="J1340" t="s">
        <v>42</v>
      </c>
      <c r="K1340" t="s">
        <v>42</v>
      </c>
      <c r="L1340" t="s">
        <v>42</v>
      </c>
      <c r="M1340" t="s">
        <v>122</v>
      </c>
      <c r="N1340">
        <v>14.36</v>
      </c>
    </row>
    <row r="1341" spans="1:14" x14ac:dyDescent="0.25">
      <c r="A1341" t="s">
        <v>82</v>
      </c>
      <c r="B1341" s="11" t="s">
        <v>68</v>
      </c>
      <c r="C1341" t="s">
        <v>123</v>
      </c>
      <c r="D1341">
        <v>20</v>
      </c>
      <c r="E1341">
        <f t="shared" si="52"/>
        <v>20</v>
      </c>
      <c r="F1341" t="s">
        <v>42</v>
      </c>
      <c r="G1341" t="s">
        <v>42</v>
      </c>
      <c r="H1341" t="s">
        <v>42</v>
      </c>
      <c r="I1341" t="s">
        <v>42</v>
      </c>
      <c r="J1341" t="s">
        <v>42</v>
      </c>
      <c r="K1341" t="s">
        <v>42</v>
      </c>
      <c r="L1341" t="s">
        <v>42</v>
      </c>
      <c r="M1341" t="s">
        <v>122</v>
      </c>
      <c r="N1341">
        <v>13.41</v>
      </c>
    </row>
    <row r="1342" spans="1:14" x14ac:dyDescent="0.25">
      <c r="A1342" t="s">
        <v>82</v>
      </c>
      <c r="B1342" s="11" t="s">
        <v>68</v>
      </c>
      <c r="C1342" t="s">
        <v>121</v>
      </c>
      <c r="D1342">
        <f>118+31</f>
        <v>149</v>
      </c>
      <c r="E1342">
        <v>118</v>
      </c>
      <c r="F1342">
        <v>31</v>
      </c>
      <c r="G1342" t="s">
        <v>42</v>
      </c>
      <c r="H1342" t="s">
        <v>42</v>
      </c>
      <c r="I1342" t="s">
        <v>42</v>
      </c>
      <c r="J1342" t="s">
        <v>42</v>
      </c>
      <c r="K1342" t="s">
        <v>42</v>
      </c>
      <c r="L1342" t="s">
        <v>42</v>
      </c>
      <c r="M1342" t="s">
        <v>124</v>
      </c>
      <c r="N1342">
        <v>14.76</v>
      </c>
    </row>
    <row r="1343" spans="1:14" x14ac:dyDescent="0.25">
      <c r="A1343" t="s">
        <v>82</v>
      </c>
      <c r="B1343" s="11" t="s">
        <v>68</v>
      </c>
      <c r="C1343" t="s">
        <v>121</v>
      </c>
      <c r="D1343">
        <v>24</v>
      </c>
      <c r="E1343">
        <f t="shared" ref="E1343:E1351" si="53">D1343</f>
        <v>24</v>
      </c>
      <c r="F1343" t="s">
        <v>42</v>
      </c>
      <c r="G1343" t="s">
        <v>42</v>
      </c>
      <c r="H1343" t="s">
        <v>42</v>
      </c>
      <c r="I1343" t="s">
        <v>42</v>
      </c>
      <c r="J1343" t="s">
        <v>42</v>
      </c>
      <c r="K1343" t="s">
        <v>42</v>
      </c>
      <c r="L1343" t="s">
        <v>42</v>
      </c>
      <c r="M1343" t="s">
        <v>122</v>
      </c>
      <c r="N1343">
        <v>14.35</v>
      </c>
    </row>
    <row r="1344" spans="1:14" x14ac:dyDescent="0.25">
      <c r="A1344" t="s">
        <v>82</v>
      </c>
      <c r="B1344" s="11" t="s">
        <v>68</v>
      </c>
      <c r="C1344" t="s">
        <v>121</v>
      </c>
      <c r="D1344">
        <v>119</v>
      </c>
      <c r="E1344">
        <f t="shared" si="53"/>
        <v>119</v>
      </c>
      <c r="F1344" t="s">
        <v>42</v>
      </c>
      <c r="G1344" t="s">
        <v>42</v>
      </c>
      <c r="H1344" t="s">
        <v>42</v>
      </c>
      <c r="I1344" t="s">
        <v>42</v>
      </c>
      <c r="J1344" t="s">
        <v>42</v>
      </c>
      <c r="K1344" t="s">
        <v>42</v>
      </c>
      <c r="L1344" t="s">
        <v>42</v>
      </c>
      <c r="M1344" t="s">
        <v>122</v>
      </c>
      <c r="N1344">
        <v>9.1300000000000008</v>
      </c>
    </row>
    <row r="1345" spans="1:14" x14ac:dyDescent="0.25">
      <c r="A1345" t="s">
        <v>82</v>
      </c>
      <c r="B1345" s="11" t="s">
        <v>135</v>
      </c>
      <c r="C1345" t="s">
        <v>121</v>
      </c>
      <c r="D1345">
        <v>44</v>
      </c>
      <c r="E1345">
        <f t="shared" si="53"/>
        <v>44</v>
      </c>
      <c r="F1345" t="s">
        <v>42</v>
      </c>
      <c r="G1345" t="s">
        <v>42</v>
      </c>
      <c r="H1345" t="s">
        <v>42</v>
      </c>
      <c r="I1345" t="s">
        <v>42</v>
      </c>
      <c r="J1345" t="s">
        <v>42</v>
      </c>
      <c r="K1345" t="s">
        <v>42</v>
      </c>
      <c r="L1345" t="s">
        <v>42</v>
      </c>
      <c r="M1345" t="s">
        <v>122</v>
      </c>
      <c r="N1345">
        <v>14.09</v>
      </c>
    </row>
    <row r="1346" spans="1:14" x14ac:dyDescent="0.25">
      <c r="A1346" t="s">
        <v>82</v>
      </c>
      <c r="B1346" s="11" t="s">
        <v>140</v>
      </c>
      <c r="C1346" t="s">
        <v>121</v>
      </c>
      <c r="D1346">
        <v>57</v>
      </c>
      <c r="E1346">
        <f t="shared" si="53"/>
        <v>57</v>
      </c>
      <c r="F1346" t="s">
        <v>42</v>
      </c>
      <c r="G1346" t="s">
        <v>42</v>
      </c>
      <c r="H1346" t="s">
        <v>42</v>
      </c>
      <c r="I1346" t="s">
        <v>42</v>
      </c>
      <c r="J1346" t="s">
        <v>42</v>
      </c>
      <c r="K1346" t="s">
        <v>42</v>
      </c>
      <c r="L1346" t="s">
        <v>42</v>
      </c>
      <c r="M1346" t="s">
        <v>122</v>
      </c>
      <c r="N1346">
        <v>14.74</v>
      </c>
    </row>
    <row r="1347" spans="1:14" x14ac:dyDescent="0.25">
      <c r="A1347" t="s">
        <v>82</v>
      </c>
      <c r="B1347" s="11" t="s">
        <v>108</v>
      </c>
      <c r="C1347" t="s">
        <v>121</v>
      </c>
      <c r="D1347">
        <v>30</v>
      </c>
      <c r="E1347">
        <f t="shared" si="53"/>
        <v>30</v>
      </c>
      <c r="F1347" t="s">
        <v>42</v>
      </c>
      <c r="G1347" t="s">
        <v>42</v>
      </c>
      <c r="H1347" t="s">
        <v>42</v>
      </c>
      <c r="I1347" t="s">
        <v>42</v>
      </c>
      <c r="J1347" t="s">
        <v>42</v>
      </c>
      <c r="K1347" t="s">
        <v>42</v>
      </c>
      <c r="L1347" t="s">
        <v>42</v>
      </c>
      <c r="M1347" t="s">
        <v>122</v>
      </c>
      <c r="N1347">
        <v>7.58</v>
      </c>
    </row>
    <row r="1348" spans="1:14" x14ac:dyDescent="0.25">
      <c r="A1348" t="s">
        <v>84</v>
      </c>
      <c r="B1348" s="11" t="s">
        <v>68</v>
      </c>
      <c r="C1348" t="s">
        <v>121</v>
      </c>
      <c r="D1348">
        <v>44.6</v>
      </c>
      <c r="E1348">
        <f t="shared" si="53"/>
        <v>44.6</v>
      </c>
      <c r="F1348" t="s">
        <v>42</v>
      </c>
      <c r="G1348" t="s">
        <v>42</v>
      </c>
      <c r="H1348" t="s">
        <v>42</v>
      </c>
      <c r="I1348" t="s">
        <v>42</v>
      </c>
      <c r="J1348" t="s">
        <v>42</v>
      </c>
      <c r="K1348" t="s">
        <v>42</v>
      </c>
      <c r="L1348" t="s">
        <v>42</v>
      </c>
      <c r="M1348" t="s">
        <v>122</v>
      </c>
      <c r="N1348">
        <v>12.55</v>
      </c>
    </row>
    <row r="1349" spans="1:14" x14ac:dyDescent="0.25">
      <c r="A1349" t="s">
        <v>84</v>
      </c>
      <c r="B1349" s="11" t="s">
        <v>68</v>
      </c>
      <c r="C1349" t="s">
        <v>121</v>
      </c>
      <c r="D1349">
        <v>32.1</v>
      </c>
      <c r="E1349">
        <f t="shared" si="53"/>
        <v>32.1</v>
      </c>
      <c r="F1349" t="s">
        <v>42</v>
      </c>
      <c r="G1349" t="s">
        <v>42</v>
      </c>
      <c r="H1349" t="s">
        <v>42</v>
      </c>
      <c r="I1349" t="s">
        <v>42</v>
      </c>
      <c r="J1349" t="s">
        <v>42</v>
      </c>
      <c r="K1349" t="s">
        <v>42</v>
      </c>
      <c r="L1349" t="s">
        <v>42</v>
      </c>
      <c r="M1349" t="s">
        <v>122</v>
      </c>
      <c r="N1349">
        <v>11.56</v>
      </c>
    </row>
    <row r="1350" spans="1:14" x14ac:dyDescent="0.25">
      <c r="A1350" t="s">
        <v>84</v>
      </c>
      <c r="B1350" s="11" t="s">
        <v>68</v>
      </c>
      <c r="C1350" t="s">
        <v>121</v>
      </c>
      <c r="D1350">
        <v>23</v>
      </c>
      <c r="E1350">
        <f t="shared" si="53"/>
        <v>23</v>
      </c>
      <c r="F1350" t="s">
        <v>42</v>
      </c>
      <c r="G1350" t="s">
        <v>42</v>
      </c>
      <c r="H1350" t="s">
        <v>42</v>
      </c>
      <c r="I1350" t="s">
        <v>42</v>
      </c>
      <c r="J1350" t="s">
        <v>42</v>
      </c>
      <c r="K1350" t="s">
        <v>42</v>
      </c>
      <c r="L1350" t="s">
        <v>42</v>
      </c>
      <c r="M1350" t="s">
        <v>122</v>
      </c>
      <c r="N1350">
        <v>11.8</v>
      </c>
    </row>
    <row r="1351" spans="1:14" x14ac:dyDescent="0.25">
      <c r="A1351" t="s">
        <v>84</v>
      </c>
      <c r="B1351" s="11" t="s">
        <v>68</v>
      </c>
      <c r="C1351" t="s">
        <v>121</v>
      </c>
      <c r="D1351">
        <v>15.7</v>
      </c>
      <c r="E1351">
        <f t="shared" si="53"/>
        <v>15.7</v>
      </c>
      <c r="F1351" t="s">
        <v>42</v>
      </c>
      <c r="G1351" t="s">
        <v>42</v>
      </c>
      <c r="H1351" t="s">
        <v>42</v>
      </c>
      <c r="I1351" t="s">
        <v>42</v>
      </c>
      <c r="J1351" t="s">
        <v>42</v>
      </c>
      <c r="K1351" t="s">
        <v>42</v>
      </c>
      <c r="L1351" t="s">
        <v>42</v>
      </c>
      <c r="M1351" t="s">
        <v>122</v>
      </c>
      <c r="N1351">
        <v>11.73</v>
      </c>
    </row>
    <row r="1352" spans="1:14" x14ac:dyDescent="0.25">
      <c r="A1352" t="s">
        <v>84</v>
      </c>
      <c r="B1352" s="11" t="s">
        <v>68</v>
      </c>
      <c r="C1352" t="s">
        <v>121</v>
      </c>
      <c r="D1352">
        <f>10.5+12.1+28.9</f>
        <v>51.5</v>
      </c>
      <c r="E1352">
        <v>10.5</v>
      </c>
      <c r="F1352">
        <v>12.1</v>
      </c>
      <c r="G1352">
        <v>28.9</v>
      </c>
      <c r="H1352" t="s">
        <v>42</v>
      </c>
      <c r="I1352" t="s">
        <v>42</v>
      </c>
      <c r="J1352" t="s">
        <v>42</v>
      </c>
      <c r="K1352" t="s">
        <v>42</v>
      </c>
      <c r="L1352" t="s">
        <v>42</v>
      </c>
      <c r="M1352" t="s">
        <v>125</v>
      </c>
      <c r="N1352">
        <v>11.82</v>
      </c>
    </row>
    <row r="1353" spans="1:14" x14ac:dyDescent="0.25">
      <c r="A1353" t="s">
        <v>84</v>
      </c>
      <c r="B1353" s="11" t="s">
        <v>68</v>
      </c>
      <c r="C1353" t="s">
        <v>121</v>
      </c>
      <c r="D1353">
        <v>10.4</v>
      </c>
      <c r="E1353">
        <f t="shared" ref="E1353:E1354" si="54">D1353</f>
        <v>10.4</v>
      </c>
      <c r="F1353" t="s">
        <v>42</v>
      </c>
      <c r="G1353" t="s">
        <v>42</v>
      </c>
      <c r="H1353" t="s">
        <v>42</v>
      </c>
      <c r="I1353" t="s">
        <v>42</v>
      </c>
      <c r="J1353" t="s">
        <v>42</v>
      </c>
      <c r="K1353" t="s">
        <v>42</v>
      </c>
      <c r="L1353" t="s">
        <v>42</v>
      </c>
      <c r="M1353" t="s">
        <v>122</v>
      </c>
      <c r="N1353">
        <v>10.6</v>
      </c>
    </row>
    <row r="1354" spans="1:14" x14ac:dyDescent="0.25">
      <c r="A1354" t="s">
        <v>84</v>
      </c>
      <c r="B1354" s="11" t="s">
        <v>68</v>
      </c>
      <c r="C1354" t="s">
        <v>121</v>
      </c>
      <c r="D1354">
        <v>34.799999999999997</v>
      </c>
      <c r="E1354">
        <f t="shared" si="54"/>
        <v>34.799999999999997</v>
      </c>
      <c r="F1354" t="s">
        <v>42</v>
      </c>
      <c r="G1354" t="s">
        <v>42</v>
      </c>
      <c r="H1354" t="s">
        <v>42</v>
      </c>
      <c r="I1354" t="s">
        <v>42</v>
      </c>
      <c r="J1354" t="s">
        <v>42</v>
      </c>
      <c r="K1354" t="s">
        <v>42</v>
      </c>
      <c r="L1354" t="s">
        <v>42</v>
      </c>
      <c r="M1354" t="s">
        <v>122</v>
      </c>
      <c r="N1354">
        <v>10.83</v>
      </c>
    </row>
    <row r="1355" spans="1:14" x14ac:dyDescent="0.25">
      <c r="A1355" t="s">
        <v>84</v>
      </c>
      <c r="B1355" s="11" t="s">
        <v>68</v>
      </c>
      <c r="C1355" t="s">
        <v>121</v>
      </c>
      <c r="D1355">
        <f>8.2+11.1</f>
        <v>19.299999999999997</v>
      </c>
      <c r="E1355">
        <v>8.1999999999999993</v>
      </c>
      <c r="F1355">
        <v>11.1</v>
      </c>
      <c r="G1355" t="s">
        <v>42</v>
      </c>
      <c r="H1355" t="s">
        <v>42</v>
      </c>
      <c r="I1355" t="s">
        <v>42</v>
      </c>
      <c r="J1355" t="s">
        <v>42</v>
      </c>
      <c r="K1355" t="s">
        <v>42</v>
      </c>
      <c r="L1355" t="s">
        <v>42</v>
      </c>
      <c r="M1355" t="s">
        <v>124</v>
      </c>
      <c r="N1355">
        <v>11.67</v>
      </c>
    </row>
    <row r="1356" spans="1:14" x14ac:dyDescent="0.25">
      <c r="A1356" t="s">
        <v>84</v>
      </c>
      <c r="B1356" s="11" t="s">
        <v>68</v>
      </c>
      <c r="C1356" t="s">
        <v>121</v>
      </c>
      <c r="D1356">
        <v>30.5</v>
      </c>
      <c r="E1356">
        <f t="shared" ref="E1356:E1363" si="55">D1356</f>
        <v>30.5</v>
      </c>
      <c r="F1356" t="s">
        <v>42</v>
      </c>
      <c r="G1356" t="s">
        <v>42</v>
      </c>
      <c r="H1356" t="s">
        <v>42</v>
      </c>
      <c r="I1356" t="s">
        <v>42</v>
      </c>
      <c r="J1356" t="s">
        <v>42</v>
      </c>
      <c r="K1356" t="s">
        <v>42</v>
      </c>
      <c r="L1356" t="s">
        <v>42</v>
      </c>
      <c r="M1356" t="s">
        <v>122</v>
      </c>
      <c r="N1356">
        <v>2.62</v>
      </c>
    </row>
    <row r="1357" spans="1:14" x14ac:dyDescent="0.25">
      <c r="A1357" t="s">
        <v>84</v>
      </c>
      <c r="B1357" s="11" t="s">
        <v>68</v>
      </c>
      <c r="C1357" t="s">
        <v>121</v>
      </c>
      <c r="D1357">
        <v>18.5</v>
      </c>
      <c r="E1357">
        <f t="shared" si="55"/>
        <v>18.5</v>
      </c>
      <c r="F1357" t="s">
        <v>42</v>
      </c>
      <c r="G1357" t="s">
        <v>42</v>
      </c>
      <c r="H1357" t="s">
        <v>42</v>
      </c>
      <c r="I1357" t="s">
        <v>42</v>
      </c>
      <c r="J1357" t="s">
        <v>42</v>
      </c>
      <c r="K1357" t="s">
        <v>42</v>
      </c>
      <c r="L1357" t="s">
        <v>42</v>
      </c>
      <c r="M1357" t="s">
        <v>122</v>
      </c>
      <c r="N1357">
        <v>5.42</v>
      </c>
    </row>
    <row r="1358" spans="1:14" x14ac:dyDescent="0.25">
      <c r="A1358" t="s">
        <v>84</v>
      </c>
      <c r="B1358" s="11" t="s">
        <v>68</v>
      </c>
      <c r="C1358" t="s">
        <v>121</v>
      </c>
      <c r="D1358">
        <v>35</v>
      </c>
      <c r="E1358">
        <f t="shared" si="55"/>
        <v>35</v>
      </c>
      <c r="F1358" t="s">
        <v>42</v>
      </c>
      <c r="G1358" t="s">
        <v>42</v>
      </c>
      <c r="H1358" t="s">
        <v>42</v>
      </c>
      <c r="I1358" t="s">
        <v>42</v>
      </c>
      <c r="J1358" t="s">
        <v>42</v>
      </c>
      <c r="K1358" t="s">
        <v>42</v>
      </c>
      <c r="L1358" t="s">
        <v>42</v>
      </c>
      <c r="M1358" t="s">
        <v>122</v>
      </c>
      <c r="N1358">
        <v>9.61</v>
      </c>
    </row>
    <row r="1359" spans="1:14" x14ac:dyDescent="0.25">
      <c r="A1359" t="s">
        <v>84</v>
      </c>
      <c r="B1359" s="11" t="s">
        <v>68</v>
      </c>
      <c r="C1359" t="s">
        <v>121</v>
      </c>
      <c r="D1359">
        <v>20.5</v>
      </c>
      <c r="E1359">
        <f t="shared" si="55"/>
        <v>20.5</v>
      </c>
      <c r="F1359" t="s">
        <v>42</v>
      </c>
      <c r="G1359" t="s">
        <v>42</v>
      </c>
      <c r="H1359" t="s">
        <v>42</v>
      </c>
      <c r="I1359" t="s">
        <v>42</v>
      </c>
      <c r="J1359" t="s">
        <v>42</v>
      </c>
      <c r="K1359" t="s">
        <v>42</v>
      </c>
      <c r="L1359" t="s">
        <v>42</v>
      </c>
      <c r="M1359" t="s">
        <v>122</v>
      </c>
      <c r="N1359">
        <v>7.39</v>
      </c>
    </row>
    <row r="1360" spans="1:14" x14ac:dyDescent="0.25">
      <c r="A1360" t="s">
        <v>84</v>
      </c>
      <c r="B1360" s="11" t="s">
        <v>68</v>
      </c>
      <c r="C1360" t="s">
        <v>121</v>
      </c>
      <c r="D1360">
        <v>21.6</v>
      </c>
      <c r="E1360">
        <f t="shared" si="55"/>
        <v>21.6</v>
      </c>
      <c r="F1360" t="s">
        <v>42</v>
      </c>
      <c r="G1360" t="s">
        <v>42</v>
      </c>
      <c r="H1360" t="s">
        <v>42</v>
      </c>
      <c r="I1360" t="s">
        <v>42</v>
      </c>
      <c r="J1360" t="s">
        <v>42</v>
      </c>
      <c r="K1360" t="s">
        <v>42</v>
      </c>
      <c r="L1360" t="s">
        <v>42</v>
      </c>
      <c r="M1360" t="s">
        <v>122</v>
      </c>
      <c r="N1360">
        <v>10.5</v>
      </c>
    </row>
    <row r="1361" spans="1:14" x14ac:dyDescent="0.25">
      <c r="A1361" t="s">
        <v>84</v>
      </c>
      <c r="B1361" s="11" t="s">
        <v>68</v>
      </c>
      <c r="C1361" t="s">
        <v>121</v>
      </c>
      <c r="D1361">
        <v>13</v>
      </c>
      <c r="E1361">
        <f t="shared" si="55"/>
        <v>13</v>
      </c>
      <c r="F1361" t="s">
        <v>42</v>
      </c>
      <c r="G1361" t="s">
        <v>42</v>
      </c>
      <c r="H1361" t="s">
        <v>42</v>
      </c>
      <c r="I1361" t="s">
        <v>42</v>
      </c>
      <c r="J1361" t="s">
        <v>42</v>
      </c>
      <c r="K1361" t="s">
        <v>42</v>
      </c>
      <c r="L1361" t="s">
        <v>42</v>
      </c>
      <c r="M1361" t="s">
        <v>122</v>
      </c>
      <c r="N1361">
        <v>9.4499999999999993</v>
      </c>
    </row>
    <row r="1362" spans="1:14" x14ac:dyDescent="0.25">
      <c r="A1362" t="s">
        <v>84</v>
      </c>
      <c r="B1362" s="11" t="s">
        <v>68</v>
      </c>
      <c r="C1362" t="s">
        <v>121</v>
      </c>
      <c r="D1362">
        <v>39.799999999999997</v>
      </c>
      <c r="E1362">
        <f t="shared" si="55"/>
        <v>39.799999999999997</v>
      </c>
      <c r="F1362" t="s">
        <v>42</v>
      </c>
      <c r="G1362" t="s">
        <v>42</v>
      </c>
      <c r="H1362" t="s">
        <v>42</v>
      </c>
      <c r="I1362" t="s">
        <v>42</v>
      </c>
      <c r="J1362" t="s">
        <v>42</v>
      </c>
      <c r="K1362" t="s">
        <v>42</v>
      </c>
      <c r="L1362" t="s">
        <v>42</v>
      </c>
      <c r="M1362" t="s">
        <v>122</v>
      </c>
      <c r="N1362">
        <v>12.4</v>
      </c>
    </row>
    <row r="1363" spans="1:14" x14ac:dyDescent="0.25">
      <c r="A1363" t="s">
        <v>84</v>
      </c>
      <c r="B1363" s="11" t="s">
        <v>68</v>
      </c>
      <c r="C1363" t="s">
        <v>121</v>
      </c>
      <c r="D1363">
        <v>11.6</v>
      </c>
      <c r="E1363">
        <f t="shared" si="55"/>
        <v>11.6</v>
      </c>
      <c r="F1363" t="s">
        <v>42</v>
      </c>
      <c r="G1363" t="s">
        <v>42</v>
      </c>
      <c r="H1363" t="s">
        <v>42</v>
      </c>
      <c r="I1363" t="s">
        <v>42</v>
      </c>
      <c r="J1363" t="s">
        <v>42</v>
      </c>
      <c r="K1363" t="s">
        <v>42</v>
      </c>
      <c r="L1363" t="s">
        <v>42</v>
      </c>
      <c r="M1363" t="s">
        <v>122</v>
      </c>
      <c r="N1363">
        <v>14.81</v>
      </c>
    </row>
    <row r="1364" spans="1:14" x14ac:dyDescent="0.25">
      <c r="A1364" t="s">
        <v>84</v>
      </c>
      <c r="B1364" s="11" t="s">
        <v>68</v>
      </c>
      <c r="C1364" t="s">
        <v>123</v>
      </c>
      <c r="D1364">
        <f>15.3+11.8</f>
        <v>27.1</v>
      </c>
      <c r="E1364">
        <v>15.3</v>
      </c>
      <c r="F1364">
        <v>11.8</v>
      </c>
      <c r="G1364" t="s">
        <v>42</v>
      </c>
      <c r="H1364" t="s">
        <v>42</v>
      </c>
      <c r="I1364" t="s">
        <v>42</v>
      </c>
      <c r="J1364" t="s">
        <v>42</v>
      </c>
      <c r="K1364" t="s">
        <v>42</v>
      </c>
      <c r="L1364" t="s">
        <v>42</v>
      </c>
      <c r="M1364" t="s">
        <v>124</v>
      </c>
      <c r="N1364">
        <v>13.22</v>
      </c>
    </row>
    <row r="1365" spans="1:14" x14ac:dyDescent="0.25">
      <c r="A1365" t="s">
        <v>84</v>
      </c>
      <c r="B1365" s="11" t="s">
        <v>68</v>
      </c>
      <c r="C1365" t="s">
        <v>121</v>
      </c>
      <c r="D1365">
        <v>9.9</v>
      </c>
      <c r="E1365">
        <f t="shared" ref="E1365:E1366" si="56">D1365</f>
        <v>9.9</v>
      </c>
      <c r="F1365" t="s">
        <v>42</v>
      </c>
      <c r="G1365" t="s">
        <v>42</v>
      </c>
      <c r="H1365" t="s">
        <v>42</v>
      </c>
      <c r="I1365" t="s">
        <v>42</v>
      </c>
      <c r="J1365" t="s">
        <v>42</v>
      </c>
      <c r="K1365" t="s">
        <v>42</v>
      </c>
      <c r="L1365" t="s">
        <v>42</v>
      </c>
      <c r="M1365" t="s">
        <v>122</v>
      </c>
      <c r="N1365">
        <v>7.24</v>
      </c>
    </row>
    <row r="1366" spans="1:14" x14ac:dyDescent="0.25">
      <c r="A1366" t="s">
        <v>84</v>
      </c>
      <c r="B1366" s="11" t="s">
        <v>68</v>
      </c>
      <c r="C1366" t="s">
        <v>121</v>
      </c>
      <c r="D1366">
        <v>7.8</v>
      </c>
      <c r="E1366">
        <f t="shared" si="56"/>
        <v>7.8</v>
      </c>
      <c r="F1366" t="s">
        <v>42</v>
      </c>
      <c r="G1366" t="s">
        <v>42</v>
      </c>
      <c r="H1366" t="s">
        <v>42</v>
      </c>
      <c r="I1366" t="s">
        <v>42</v>
      </c>
      <c r="J1366" t="s">
        <v>42</v>
      </c>
      <c r="K1366" t="s">
        <v>42</v>
      </c>
      <c r="L1366" t="s">
        <v>42</v>
      </c>
      <c r="M1366" t="s">
        <v>122</v>
      </c>
      <c r="N1366">
        <v>6.77</v>
      </c>
    </row>
    <row r="1367" spans="1:14" x14ac:dyDescent="0.25">
      <c r="A1367" t="s">
        <v>84</v>
      </c>
      <c r="B1367" s="11" t="s">
        <v>68</v>
      </c>
      <c r="C1367" t="s">
        <v>121</v>
      </c>
      <c r="D1367">
        <f>15+9.7</f>
        <v>24.7</v>
      </c>
      <c r="E1367">
        <v>15</v>
      </c>
      <c r="F1367">
        <v>9.6999999999999993</v>
      </c>
      <c r="G1367" t="s">
        <v>42</v>
      </c>
      <c r="H1367" t="s">
        <v>42</v>
      </c>
      <c r="I1367" t="s">
        <v>42</v>
      </c>
      <c r="J1367" t="s">
        <v>42</v>
      </c>
      <c r="K1367" t="s">
        <v>42</v>
      </c>
      <c r="L1367" t="s">
        <v>42</v>
      </c>
      <c r="M1367" t="s">
        <v>124</v>
      </c>
      <c r="N1367">
        <v>1.58</v>
      </c>
    </row>
    <row r="1368" spans="1:14" x14ac:dyDescent="0.25">
      <c r="A1368" t="s">
        <v>84</v>
      </c>
      <c r="B1368" s="11" t="s">
        <v>68</v>
      </c>
      <c r="C1368" t="s">
        <v>121</v>
      </c>
      <c r="D1368">
        <v>23.6</v>
      </c>
      <c r="E1368">
        <f t="shared" ref="E1368:E1371" si="57">D1368</f>
        <v>23.6</v>
      </c>
      <c r="F1368" t="s">
        <v>42</v>
      </c>
      <c r="G1368" t="s">
        <v>42</v>
      </c>
      <c r="H1368" t="s">
        <v>42</v>
      </c>
      <c r="I1368" t="s">
        <v>42</v>
      </c>
      <c r="J1368" t="s">
        <v>42</v>
      </c>
      <c r="K1368" t="s">
        <v>42</v>
      </c>
      <c r="L1368" t="s">
        <v>42</v>
      </c>
      <c r="M1368" t="s">
        <v>122</v>
      </c>
      <c r="N1368">
        <v>4.63</v>
      </c>
    </row>
    <row r="1369" spans="1:14" x14ac:dyDescent="0.25">
      <c r="A1369" t="s">
        <v>84</v>
      </c>
      <c r="B1369" s="11" t="s">
        <v>68</v>
      </c>
      <c r="C1369" t="s">
        <v>121</v>
      </c>
      <c r="D1369">
        <v>17.100000000000001</v>
      </c>
      <c r="E1369">
        <f t="shared" si="57"/>
        <v>17.100000000000001</v>
      </c>
      <c r="F1369" t="s">
        <v>42</v>
      </c>
      <c r="G1369" t="s">
        <v>42</v>
      </c>
      <c r="H1369" t="s">
        <v>42</v>
      </c>
      <c r="I1369" t="s">
        <v>42</v>
      </c>
      <c r="J1369" t="s">
        <v>42</v>
      </c>
      <c r="K1369" t="s">
        <v>42</v>
      </c>
      <c r="L1369" t="s">
        <v>42</v>
      </c>
      <c r="M1369" t="s">
        <v>122</v>
      </c>
      <c r="N1369">
        <v>7.65</v>
      </c>
    </row>
    <row r="1370" spans="1:14" x14ac:dyDescent="0.25">
      <c r="A1370" t="s">
        <v>84</v>
      </c>
      <c r="B1370" s="11" t="s">
        <v>68</v>
      </c>
      <c r="C1370" t="s">
        <v>121</v>
      </c>
      <c r="D1370">
        <v>23.9</v>
      </c>
      <c r="E1370">
        <f t="shared" si="57"/>
        <v>23.9</v>
      </c>
      <c r="F1370" t="s">
        <v>42</v>
      </c>
      <c r="G1370" t="s">
        <v>42</v>
      </c>
      <c r="H1370" t="s">
        <v>42</v>
      </c>
      <c r="I1370" t="s">
        <v>42</v>
      </c>
      <c r="J1370" t="s">
        <v>42</v>
      </c>
      <c r="K1370" t="s">
        <v>42</v>
      </c>
      <c r="L1370" t="s">
        <v>42</v>
      </c>
      <c r="M1370" t="s">
        <v>122</v>
      </c>
      <c r="N1370">
        <v>9.33</v>
      </c>
    </row>
    <row r="1371" spans="1:14" x14ac:dyDescent="0.25">
      <c r="A1371" t="s">
        <v>84</v>
      </c>
      <c r="B1371" s="11" t="s">
        <v>68</v>
      </c>
      <c r="C1371" t="s">
        <v>121</v>
      </c>
      <c r="D1371">
        <v>8</v>
      </c>
      <c r="E1371">
        <f t="shared" si="57"/>
        <v>8</v>
      </c>
      <c r="F1371" t="s">
        <v>42</v>
      </c>
      <c r="G1371" t="s">
        <v>42</v>
      </c>
      <c r="H1371" t="s">
        <v>42</v>
      </c>
      <c r="I1371" t="s">
        <v>42</v>
      </c>
      <c r="J1371" t="s">
        <v>42</v>
      </c>
      <c r="K1371" t="s">
        <v>42</v>
      </c>
      <c r="L1371" t="s">
        <v>42</v>
      </c>
      <c r="M1371" t="s">
        <v>122</v>
      </c>
      <c r="N1371">
        <v>9.61</v>
      </c>
    </row>
    <row r="1372" spans="1:14" x14ac:dyDescent="0.25">
      <c r="A1372" t="s">
        <v>84</v>
      </c>
      <c r="B1372" s="11" t="s">
        <v>68</v>
      </c>
      <c r="C1372" t="s">
        <v>121</v>
      </c>
      <c r="D1372">
        <f>8.5+14.3+9.1+8.3+11.1</f>
        <v>51.300000000000004</v>
      </c>
      <c r="E1372">
        <v>8.5</v>
      </c>
      <c r="F1372">
        <v>14.3</v>
      </c>
      <c r="G1372">
        <v>9.1</v>
      </c>
      <c r="H1372">
        <v>8.3000000000000007</v>
      </c>
      <c r="I1372">
        <v>11.1</v>
      </c>
      <c r="J1372" t="s">
        <v>42</v>
      </c>
      <c r="K1372" t="s">
        <v>42</v>
      </c>
      <c r="L1372" t="s">
        <v>42</v>
      </c>
      <c r="M1372" t="s">
        <v>136</v>
      </c>
      <c r="N1372">
        <v>10.67</v>
      </c>
    </row>
    <row r="1373" spans="1:14" x14ac:dyDescent="0.25">
      <c r="A1373" t="s">
        <v>84</v>
      </c>
      <c r="B1373" s="11" t="s">
        <v>68</v>
      </c>
      <c r="C1373" t="s">
        <v>121</v>
      </c>
      <c r="D1373">
        <v>15.9</v>
      </c>
      <c r="E1373">
        <f t="shared" ref="E1373:E1384" si="58">D1373</f>
        <v>15.9</v>
      </c>
      <c r="F1373" t="s">
        <v>42</v>
      </c>
      <c r="G1373" t="s">
        <v>42</v>
      </c>
      <c r="H1373" t="s">
        <v>42</v>
      </c>
      <c r="I1373" t="s">
        <v>42</v>
      </c>
      <c r="J1373" t="s">
        <v>42</v>
      </c>
      <c r="K1373" t="s">
        <v>42</v>
      </c>
      <c r="L1373" t="s">
        <v>42</v>
      </c>
      <c r="M1373" t="s">
        <v>122</v>
      </c>
      <c r="N1373">
        <v>14.95</v>
      </c>
    </row>
    <row r="1374" spans="1:14" x14ac:dyDescent="0.25">
      <c r="A1374" t="s">
        <v>84</v>
      </c>
      <c r="B1374" s="11" t="s">
        <v>68</v>
      </c>
      <c r="C1374" t="s">
        <v>121</v>
      </c>
      <c r="D1374">
        <v>27.6</v>
      </c>
      <c r="E1374">
        <f t="shared" si="58"/>
        <v>27.6</v>
      </c>
      <c r="F1374" t="s">
        <v>42</v>
      </c>
      <c r="G1374" t="s">
        <v>42</v>
      </c>
      <c r="H1374" t="s">
        <v>42</v>
      </c>
      <c r="I1374" t="s">
        <v>42</v>
      </c>
      <c r="J1374" t="s">
        <v>42</v>
      </c>
      <c r="K1374" t="s">
        <v>42</v>
      </c>
      <c r="L1374" t="s">
        <v>42</v>
      </c>
      <c r="M1374" t="s">
        <v>122</v>
      </c>
      <c r="N1374">
        <v>12.46</v>
      </c>
    </row>
    <row r="1375" spans="1:14" x14ac:dyDescent="0.25">
      <c r="A1375" t="s">
        <v>84</v>
      </c>
      <c r="B1375" s="11" t="s">
        <v>68</v>
      </c>
      <c r="C1375" t="s">
        <v>121</v>
      </c>
      <c r="D1375">
        <v>30.3</v>
      </c>
      <c r="E1375">
        <f t="shared" si="58"/>
        <v>30.3</v>
      </c>
      <c r="F1375" t="s">
        <v>42</v>
      </c>
      <c r="G1375" t="s">
        <v>42</v>
      </c>
      <c r="H1375" t="s">
        <v>42</v>
      </c>
      <c r="I1375" t="s">
        <v>42</v>
      </c>
      <c r="J1375" t="s">
        <v>42</v>
      </c>
      <c r="K1375" t="s">
        <v>42</v>
      </c>
      <c r="L1375" t="s">
        <v>42</v>
      </c>
      <c r="M1375" t="s">
        <v>122</v>
      </c>
      <c r="N1375">
        <v>10.93</v>
      </c>
    </row>
    <row r="1376" spans="1:14" x14ac:dyDescent="0.25">
      <c r="A1376" t="s">
        <v>84</v>
      </c>
      <c r="B1376" s="11" t="s">
        <v>68</v>
      </c>
      <c r="C1376" t="s">
        <v>121</v>
      </c>
      <c r="D1376">
        <v>23.7</v>
      </c>
      <c r="E1376">
        <f t="shared" si="58"/>
        <v>23.7</v>
      </c>
      <c r="F1376" t="s">
        <v>42</v>
      </c>
      <c r="G1376" t="s">
        <v>42</v>
      </c>
      <c r="H1376" t="s">
        <v>42</v>
      </c>
      <c r="I1376" t="s">
        <v>42</v>
      </c>
      <c r="J1376" t="s">
        <v>42</v>
      </c>
      <c r="K1376" t="s">
        <v>42</v>
      </c>
      <c r="L1376" t="s">
        <v>42</v>
      </c>
      <c r="M1376" t="s">
        <v>122</v>
      </c>
      <c r="N1376">
        <v>6.79</v>
      </c>
    </row>
    <row r="1377" spans="1:14" x14ac:dyDescent="0.25">
      <c r="A1377" t="s">
        <v>84</v>
      </c>
      <c r="B1377" s="11" t="s">
        <v>68</v>
      </c>
      <c r="C1377" t="s">
        <v>121</v>
      </c>
      <c r="D1377">
        <v>27</v>
      </c>
      <c r="E1377">
        <f t="shared" si="58"/>
        <v>27</v>
      </c>
      <c r="F1377" t="s">
        <v>42</v>
      </c>
      <c r="G1377" t="s">
        <v>42</v>
      </c>
      <c r="H1377" t="s">
        <v>42</v>
      </c>
      <c r="I1377" t="s">
        <v>42</v>
      </c>
      <c r="J1377" t="s">
        <v>42</v>
      </c>
      <c r="K1377" t="s">
        <v>42</v>
      </c>
      <c r="L1377" t="s">
        <v>42</v>
      </c>
      <c r="M1377" t="s">
        <v>122</v>
      </c>
      <c r="N1377">
        <v>5.67</v>
      </c>
    </row>
    <row r="1378" spans="1:14" x14ac:dyDescent="0.25">
      <c r="A1378" t="s">
        <v>84</v>
      </c>
      <c r="B1378" s="11" t="s">
        <v>68</v>
      </c>
      <c r="C1378" t="s">
        <v>121</v>
      </c>
      <c r="D1378">
        <v>24.1</v>
      </c>
      <c r="E1378">
        <f t="shared" si="58"/>
        <v>24.1</v>
      </c>
      <c r="F1378" t="s">
        <v>42</v>
      </c>
      <c r="G1378" t="s">
        <v>42</v>
      </c>
      <c r="H1378" t="s">
        <v>42</v>
      </c>
      <c r="I1378" t="s">
        <v>42</v>
      </c>
      <c r="J1378" t="s">
        <v>42</v>
      </c>
      <c r="K1378" t="s">
        <v>42</v>
      </c>
      <c r="L1378" t="s">
        <v>42</v>
      </c>
      <c r="M1378" t="s">
        <v>122</v>
      </c>
      <c r="N1378">
        <v>4</v>
      </c>
    </row>
    <row r="1379" spans="1:14" x14ac:dyDescent="0.25">
      <c r="A1379" t="s">
        <v>84</v>
      </c>
      <c r="B1379" s="11" t="s">
        <v>68</v>
      </c>
      <c r="C1379" t="s">
        <v>121</v>
      </c>
      <c r="D1379">
        <v>15.5</v>
      </c>
      <c r="E1379">
        <f t="shared" si="58"/>
        <v>15.5</v>
      </c>
      <c r="F1379" t="s">
        <v>42</v>
      </c>
      <c r="G1379" t="s">
        <v>42</v>
      </c>
      <c r="H1379" t="s">
        <v>42</v>
      </c>
      <c r="I1379" t="s">
        <v>42</v>
      </c>
      <c r="J1379" t="s">
        <v>42</v>
      </c>
      <c r="K1379" t="s">
        <v>42</v>
      </c>
      <c r="L1379" t="s">
        <v>42</v>
      </c>
      <c r="M1379" t="s">
        <v>122</v>
      </c>
      <c r="N1379">
        <v>10.130000000000001</v>
      </c>
    </row>
    <row r="1380" spans="1:14" x14ac:dyDescent="0.25">
      <c r="A1380" t="s">
        <v>84</v>
      </c>
      <c r="B1380" s="11" t="s">
        <v>68</v>
      </c>
      <c r="C1380" t="s">
        <v>121</v>
      </c>
      <c r="D1380">
        <v>16.899999999999999</v>
      </c>
      <c r="E1380">
        <f t="shared" si="58"/>
        <v>16.899999999999999</v>
      </c>
      <c r="F1380" t="s">
        <v>42</v>
      </c>
      <c r="G1380" t="s">
        <v>42</v>
      </c>
      <c r="H1380" t="s">
        <v>42</v>
      </c>
      <c r="I1380" t="s">
        <v>42</v>
      </c>
      <c r="J1380" t="s">
        <v>42</v>
      </c>
      <c r="K1380" t="s">
        <v>42</v>
      </c>
      <c r="L1380" t="s">
        <v>42</v>
      </c>
      <c r="M1380" t="s">
        <v>122</v>
      </c>
      <c r="N1380">
        <v>13.08</v>
      </c>
    </row>
    <row r="1381" spans="1:14" x14ac:dyDescent="0.25">
      <c r="A1381" t="s">
        <v>84</v>
      </c>
      <c r="B1381" s="11" t="s">
        <v>68</v>
      </c>
      <c r="C1381" t="s">
        <v>121</v>
      </c>
      <c r="D1381">
        <v>33.6</v>
      </c>
      <c r="E1381">
        <f t="shared" si="58"/>
        <v>33.6</v>
      </c>
      <c r="F1381" t="s">
        <v>42</v>
      </c>
      <c r="G1381" t="s">
        <v>42</v>
      </c>
      <c r="H1381" t="s">
        <v>42</v>
      </c>
      <c r="I1381" t="s">
        <v>42</v>
      </c>
      <c r="J1381" t="s">
        <v>42</v>
      </c>
      <c r="K1381" t="s">
        <v>42</v>
      </c>
      <c r="L1381" t="s">
        <v>42</v>
      </c>
      <c r="M1381" t="s">
        <v>122</v>
      </c>
      <c r="N1381">
        <v>10.32</v>
      </c>
    </row>
    <row r="1382" spans="1:14" x14ac:dyDescent="0.25">
      <c r="A1382" t="s">
        <v>84</v>
      </c>
      <c r="B1382" s="11" t="s">
        <v>68</v>
      </c>
      <c r="C1382" t="s">
        <v>121</v>
      </c>
      <c r="D1382">
        <v>25.1</v>
      </c>
      <c r="E1382">
        <f t="shared" si="58"/>
        <v>25.1</v>
      </c>
      <c r="F1382" t="s">
        <v>42</v>
      </c>
      <c r="G1382" t="s">
        <v>42</v>
      </c>
      <c r="H1382" t="s">
        <v>42</v>
      </c>
      <c r="I1382" t="s">
        <v>42</v>
      </c>
      <c r="J1382" t="s">
        <v>42</v>
      </c>
      <c r="K1382" t="s">
        <v>42</v>
      </c>
      <c r="L1382" t="s">
        <v>42</v>
      </c>
      <c r="M1382" t="s">
        <v>122</v>
      </c>
      <c r="N1382">
        <v>5.83</v>
      </c>
    </row>
    <row r="1383" spans="1:14" x14ac:dyDescent="0.25">
      <c r="A1383" t="s">
        <v>84</v>
      </c>
      <c r="B1383" s="11" t="s">
        <v>68</v>
      </c>
      <c r="C1383" t="s">
        <v>121</v>
      </c>
      <c r="D1383">
        <v>30</v>
      </c>
      <c r="E1383">
        <f t="shared" si="58"/>
        <v>30</v>
      </c>
      <c r="F1383" t="s">
        <v>42</v>
      </c>
      <c r="G1383" t="s">
        <v>42</v>
      </c>
      <c r="H1383" t="s">
        <v>42</v>
      </c>
      <c r="I1383" t="s">
        <v>42</v>
      </c>
      <c r="J1383" t="s">
        <v>42</v>
      </c>
      <c r="K1383" t="s">
        <v>42</v>
      </c>
      <c r="L1383" t="s">
        <v>42</v>
      </c>
      <c r="M1383" t="s">
        <v>122</v>
      </c>
      <c r="N1383">
        <v>1.75</v>
      </c>
    </row>
    <row r="1384" spans="1:14" x14ac:dyDescent="0.25">
      <c r="A1384" t="s">
        <v>84</v>
      </c>
      <c r="B1384" s="11" t="s">
        <v>68</v>
      </c>
      <c r="C1384" t="s">
        <v>121</v>
      </c>
      <c r="D1384">
        <v>8.4</v>
      </c>
      <c r="E1384">
        <f t="shared" si="58"/>
        <v>8.4</v>
      </c>
      <c r="F1384" t="s">
        <v>42</v>
      </c>
      <c r="G1384" t="s">
        <v>42</v>
      </c>
      <c r="H1384" t="s">
        <v>42</v>
      </c>
      <c r="I1384" t="s">
        <v>42</v>
      </c>
      <c r="J1384" t="s">
        <v>42</v>
      </c>
      <c r="K1384" t="s">
        <v>42</v>
      </c>
      <c r="L1384" t="s">
        <v>42</v>
      </c>
      <c r="M1384" t="s">
        <v>122</v>
      </c>
      <c r="N1384">
        <v>2.75</v>
      </c>
    </row>
    <row r="1385" spans="1:14" x14ac:dyDescent="0.25">
      <c r="A1385" t="s">
        <v>84</v>
      </c>
      <c r="B1385" s="11" t="s">
        <v>68</v>
      </c>
      <c r="C1385" t="s">
        <v>121</v>
      </c>
      <c r="D1385">
        <f>11.2+9.7+8.3</f>
        <v>29.2</v>
      </c>
      <c r="E1385">
        <v>11.2</v>
      </c>
      <c r="F1385">
        <v>9.6999999999999993</v>
      </c>
      <c r="G1385">
        <v>8.3000000000000007</v>
      </c>
      <c r="H1385" t="s">
        <v>42</v>
      </c>
      <c r="I1385" t="s">
        <v>42</v>
      </c>
      <c r="J1385" t="s">
        <v>42</v>
      </c>
      <c r="K1385" t="s">
        <v>42</v>
      </c>
      <c r="L1385" t="s">
        <v>42</v>
      </c>
      <c r="M1385" t="s">
        <v>125</v>
      </c>
      <c r="N1385">
        <v>3.81</v>
      </c>
    </row>
    <row r="1386" spans="1:14" x14ac:dyDescent="0.25">
      <c r="A1386" t="s">
        <v>141</v>
      </c>
      <c r="B1386" s="11" t="s">
        <v>140</v>
      </c>
      <c r="C1386" t="s">
        <v>121</v>
      </c>
      <c r="D1386">
        <v>31.7</v>
      </c>
      <c r="E1386">
        <f t="shared" ref="E1386:E1393" si="59">D1386</f>
        <v>31.7</v>
      </c>
      <c r="F1386" t="s">
        <v>42</v>
      </c>
      <c r="G1386" t="s">
        <v>42</v>
      </c>
      <c r="H1386" t="s">
        <v>42</v>
      </c>
      <c r="I1386" t="s">
        <v>42</v>
      </c>
      <c r="J1386" t="s">
        <v>42</v>
      </c>
      <c r="K1386" t="s">
        <v>42</v>
      </c>
      <c r="L1386" t="s">
        <v>42</v>
      </c>
      <c r="M1386" t="s">
        <v>122</v>
      </c>
      <c r="N1386" t="s">
        <v>122</v>
      </c>
    </row>
    <row r="1387" spans="1:14" x14ac:dyDescent="0.25">
      <c r="A1387" t="s">
        <v>141</v>
      </c>
      <c r="B1387" s="11" t="s">
        <v>140</v>
      </c>
      <c r="C1387" t="s">
        <v>121</v>
      </c>
      <c r="D1387">
        <v>22.1</v>
      </c>
      <c r="E1387">
        <f t="shared" si="59"/>
        <v>22.1</v>
      </c>
      <c r="F1387" t="s">
        <v>42</v>
      </c>
      <c r="G1387" t="s">
        <v>42</v>
      </c>
      <c r="H1387" t="s">
        <v>42</v>
      </c>
      <c r="I1387" t="s">
        <v>42</v>
      </c>
      <c r="J1387" t="s">
        <v>42</v>
      </c>
      <c r="K1387" t="s">
        <v>42</v>
      </c>
      <c r="L1387" t="s">
        <v>42</v>
      </c>
      <c r="M1387" t="s">
        <v>122</v>
      </c>
      <c r="N1387" t="s">
        <v>122</v>
      </c>
    </row>
    <row r="1388" spans="1:14" x14ac:dyDescent="0.25">
      <c r="A1388" t="s">
        <v>141</v>
      </c>
      <c r="B1388" s="11" t="s">
        <v>140</v>
      </c>
      <c r="C1388" t="s">
        <v>121</v>
      </c>
      <c r="D1388">
        <v>10.5</v>
      </c>
      <c r="E1388">
        <f t="shared" si="59"/>
        <v>10.5</v>
      </c>
      <c r="F1388" t="s">
        <v>42</v>
      </c>
      <c r="G1388" t="s">
        <v>42</v>
      </c>
      <c r="H1388" t="s">
        <v>42</v>
      </c>
      <c r="I1388" t="s">
        <v>42</v>
      </c>
      <c r="J1388" t="s">
        <v>42</v>
      </c>
      <c r="K1388" t="s">
        <v>42</v>
      </c>
      <c r="L1388" t="s">
        <v>42</v>
      </c>
      <c r="M1388" t="s">
        <v>122</v>
      </c>
      <c r="N1388" t="s">
        <v>122</v>
      </c>
    </row>
    <row r="1389" spans="1:14" x14ac:dyDescent="0.25">
      <c r="A1389" t="s">
        <v>141</v>
      </c>
      <c r="B1389" s="11" t="s">
        <v>140</v>
      </c>
      <c r="C1389" t="s">
        <v>121</v>
      </c>
      <c r="D1389">
        <v>24</v>
      </c>
      <c r="E1389">
        <f t="shared" si="59"/>
        <v>24</v>
      </c>
      <c r="F1389" t="s">
        <v>42</v>
      </c>
      <c r="G1389" t="s">
        <v>42</v>
      </c>
      <c r="H1389" t="s">
        <v>42</v>
      </c>
      <c r="I1389" t="s">
        <v>42</v>
      </c>
      <c r="J1389" t="s">
        <v>42</v>
      </c>
      <c r="K1389" t="s">
        <v>42</v>
      </c>
      <c r="L1389" t="s">
        <v>42</v>
      </c>
      <c r="M1389" t="s">
        <v>122</v>
      </c>
      <c r="N1389" t="s">
        <v>122</v>
      </c>
    </row>
    <row r="1390" spans="1:14" x14ac:dyDescent="0.25">
      <c r="A1390" t="s">
        <v>141</v>
      </c>
      <c r="B1390" s="11" t="s">
        <v>140</v>
      </c>
      <c r="C1390" t="s">
        <v>121</v>
      </c>
      <c r="D1390">
        <v>13.4</v>
      </c>
      <c r="E1390">
        <f t="shared" si="59"/>
        <v>13.4</v>
      </c>
      <c r="F1390" t="s">
        <v>42</v>
      </c>
      <c r="G1390" t="s">
        <v>42</v>
      </c>
      <c r="H1390" t="s">
        <v>42</v>
      </c>
      <c r="I1390" t="s">
        <v>42</v>
      </c>
      <c r="J1390" t="s">
        <v>42</v>
      </c>
      <c r="K1390" t="s">
        <v>42</v>
      </c>
      <c r="L1390" t="s">
        <v>42</v>
      </c>
      <c r="M1390" t="s">
        <v>122</v>
      </c>
      <c r="N1390" t="s">
        <v>122</v>
      </c>
    </row>
    <row r="1391" spans="1:14" x14ac:dyDescent="0.25">
      <c r="A1391" t="s">
        <v>141</v>
      </c>
      <c r="B1391" s="11" t="s">
        <v>140</v>
      </c>
      <c r="C1391" t="s">
        <v>121</v>
      </c>
      <c r="D1391">
        <v>20.7</v>
      </c>
      <c r="E1391">
        <f t="shared" si="59"/>
        <v>20.7</v>
      </c>
      <c r="F1391" t="s">
        <v>42</v>
      </c>
      <c r="G1391" t="s">
        <v>42</v>
      </c>
      <c r="H1391" t="s">
        <v>42</v>
      </c>
      <c r="I1391" t="s">
        <v>42</v>
      </c>
      <c r="J1391" t="s">
        <v>42</v>
      </c>
      <c r="K1391" t="s">
        <v>42</v>
      </c>
      <c r="L1391" t="s">
        <v>42</v>
      </c>
      <c r="M1391" t="s">
        <v>122</v>
      </c>
      <c r="N1391" t="s">
        <v>122</v>
      </c>
    </row>
    <row r="1392" spans="1:14" x14ac:dyDescent="0.25">
      <c r="A1392" t="s">
        <v>141</v>
      </c>
      <c r="B1392" s="11" t="s">
        <v>140</v>
      </c>
      <c r="C1392" t="s">
        <v>121</v>
      </c>
      <c r="D1392">
        <v>31.7</v>
      </c>
      <c r="E1392">
        <f t="shared" si="59"/>
        <v>31.7</v>
      </c>
      <c r="F1392" t="s">
        <v>42</v>
      </c>
      <c r="G1392" t="s">
        <v>42</v>
      </c>
      <c r="H1392" t="s">
        <v>42</v>
      </c>
      <c r="I1392" t="s">
        <v>42</v>
      </c>
      <c r="J1392" t="s">
        <v>42</v>
      </c>
      <c r="K1392" t="s">
        <v>42</v>
      </c>
      <c r="L1392" t="s">
        <v>42</v>
      </c>
      <c r="M1392" t="s">
        <v>122</v>
      </c>
      <c r="N1392" t="s">
        <v>122</v>
      </c>
    </row>
    <row r="1393" spans="1:14" x14ac:dyDescent="0.25">
      <c r="A1393" t="s">
        <v>141</v>
      </c>
      <c r="B1393" s="11" t="s">
        <v>140</v>
      </c>
      <c r="C1393" t="s">
        <v>121</v>
      </c>
      <c r="D1393">
        <v>16.100000000000001</v>
      </c>
      <c r="E1393">
        <f t="shared" si="59"/>
        <v>16.100000000000001</v>
      </c>
      <c r="F1393" t="s">
        <v>42</v>
      </c>
      <c r="G1393" t="s">
        <v>42</v>
      </c>
      <c r="H1393" t="s">
        <v>42</v>
      </c>
      <c r="I1393" t="s">
        <v>42</v>
      </c>
      <c r="J1393" t="s">
        <v>42</v>
      </c>
      <c r="K1393" t="s">
        <v>42</v>
      </c>
      <c r="L1393" t="s">
        <v>42</v>
      </c>
      <c r="M1393" t="s">
        <v>122</v>
      </c>
      <c r="N1393" t="s">
        <v>122</v>
      </c>
    </row>
    <row r="1394" spans="1:14" x14ac:dyDescent="0.25">
      <c r="A1394" t="s">
        <v>141</v>
      </c>
      <c r="B1394" s="11" t="s">
        <v>140</v>
      </c>
      <c r="C1394" t="s">
        <v>121</v>
      </c>
      <c r="D1394">
        <f>44.6+15.7</f>
        <v>60.3</v>
      </c>
      <c r="E1394">
        <v>44.6</v>
      </c>
      <c r="F1394">
        <v>15.7</v>
      </c>
      <c r="G1394" t="s">
        <v>42</v>
      </c>
      <c r="H1394" t="s">
        <v>42</v>
      </c>
      <c r="I1394" t="s">
        <v>42</v>
      </c>
      <c r="J1394" t="s">
        <v>42</v>
      </c>
      <c r="K1394" t="s">
        <v>42</v>
      </c>
      <c r="L1394" t="s">
        <v>42</v>
      </c>
      <c r="M1394" t="s">
        <v>124</v>
      </c>
      <c r="N1394" t="s">
        <v>122</v>
      </c>
    </row>
    <row r="1395" spans="1:14" x14ac:dyDescent="0.25">
      <c r="A1395" t="s">
        <v>141</v>
      </c>
      <c r="B1395" s="11" t="s">
        <v>68</v>
      </c>
      <c r="C1395" t="s">
        <v>121</v>
      </c>
      <c r="D1395">
        <v>21.3</v>
      </c>
      <c r="E1395">
        <f t="shared" ref="E1395:E1423" si="60">D1395</f>
        <v>21.3</v>
      </c>
      <c r="F1395" t="s">
        <v>42</v>
      </c>
      <c r="G1395" t="s">
        <v>42</v>
      </c>
      <c r="H1395" t="s">
        <v>42</v>
      </c>
      <c r="I1395" t="s">
        <v>42</v>
      </c>
      <c r="J1395" t="s">
        <v>42</v>
      </c>
      <c r="K1395" t="s">
        <v>42</v>
      </c>
      <c r="L1395" t="s">
        <v>42</v>
      </c>
      <c r="M1395" t="s">
        <v>122</v>
      </c>
      <c r="N1395" t="s">
        <v>122</v>
      </c>
    </row>
    <row r="1396" spans="1:14" x14ac:dyDescent="0.25">
      <c r="A1396" t="s">
        <v>141</v>
      </c>
      <c r="B1396" s="11" t="s">
        <v>68</v>
      </c>
      <c r="C1396" t="s">
        <v>121</v>
      </c>
      <c r="D1396">
        <v>22.6</v>
      </c>
      <c r="E1396">
        <f t="shared" si="60"/>
        <v>22.6</v>
      </c>
      <c r="F1396" t="s">
        <v>42</v>
      </c>
      <c r="G1396" t="s">
        <v>42</v>
      </c>
      <c r="H1396" t="s">
        <v>42</v>
      </c>
      <c r="I1396" t="s">
        <v>42</v>
      </c>
      <c r="J1396" t="s">
        <v>42</v>
      </c>
      <c r="K1396" t="s">
        <v>42</v>
      </c>
      <c r="L1396" t="s">
        <v>42</v>
      </c>
      <c r="M1396" t="s">
        <v>122</v>
      </c>
      <c r="N1396" t="s">
        <v>122</v>
      </c>
    </row>
    <row r="1397" spans="1:14" x14ac:dyDescent="0.25">
      <c r="A1397" t="s">
        <v>141</v>
      </c>
      <c r="B1397" s="11" t="s">
        <v>68</v>
      </c>
      <c r="C1397" t="s">
        <v>121</v>
      </c>
      <c r="D1397">
        <v>20.399999999999999</v>
      </c>
      <c r="E1397">
        <f t="shared" si="60"/>
        <v>20.399999999999999</v>
      </c>
      <c r="F1397" t="s">
        <v>42</v>
      </c>
      <c r="G1397" t="s">
        <v>42</v>
      </c>
      <c r="H1397" t="s">
        <v>42</v>
      </c>
      <c r="I1397" t="s">
        <v>42</v>
      </c>
      <c r="J1397" t="s">
        <v>42</v>
      </c>
      <c r="K1397" t="s">
        <v>42</v>
      </c>
      <c r="L1397" t="s">
        <v>42</v>
      </c>
      <c r="M1397" t="s">
        <v>122</v>
      </c>
      <c r="N1397" t="s">
        <v>122</v>
      </c>
    </row>
    <row r="1398" spans="1:14" x14ac:dyDescent="0.25">
      <c r="A1398" t="s">
        <v>141</v>
      </c>
      <c r="B1398" s="11" t="s">
        <v>68</v>
      </c>
      <c r="C1398" t="s">
        <v>121</v>
      </c>
      <c r="D1398">
        <v>8.8000000000000007</v>
      </c>
      <c r="E1398">
        <f t="shared" si="60"/>
        <v>8.8000000000000007</v>
      </c>
      <c r="F1398" t="s">
        <v>42</v>
      </c>
      <c r="G1398" t="s">
        <v>42</v>
      </c>
      <c r="H1398" t="s">
        <v>42</v>
      </c>
      <c r="I1398" t="s">
        <v>42</v>
      </c>
      <c r="J1398" t="s">
        <v>42</v>
      </c>
      <c r="K1398" t="s">
        <v>42</v>
      </c>
      <c r="L1398" t="s">
        <v>42</v>
      </c>
      <c r="M1398" t="s">
        <v>122</v>
      </c>
      <c r="N1398" t="s">
        <v>122</v>
      </c>
    </row>
    <row r="1399" spans="1:14" x14ac:dyDescent="0.25">
      <c r="A1399" t="s">
        <v>141</v>
      </c>
      <c r="B1399" s="11" t="s">
        <v>68</v>
      </c>
      <c r="C1399" t="s">
        <v>121</v>
      </c>
      <c r="D1399">
        <v>39.9</v>
      </c>
      <c r="E1399">
        <f t="shared" si="60"/>
        <v>39.9</v>
      </c>
      <c r="F1399" t="s">
        <v>42</v>
      </c>
      <c r="G1399" t="s">
        <v>42</v>
      </c>
      <c r="H1399" t="s">
        <v>42</v>
      </c>
      <c r="I1399" t="s">
        <v>42</v>
      </c>
      <c r="J1399" t="s">
        <v>42</v>
      </c>
      <c r="K1399" t="s">
        <v>42</v>
      </c>
      <c r="L1399" t="s">
        <v>42</v>
      </c>
      <c r="M1399" t="s">
        <v>122</v>
      </c>
      <c r="N1399" t="s">
        <v>122</v>
      </c>
    </row>
    <row r="1400" spans="1:14" x14ac:dyDescent="0.25">
      <c r="A1400" t="s">
        <v>141</v>
      </c>
      <c r="B1400" s="11" t="s">
        <v>68</v>
      </c>
      <c r="C1400" t="s">
        <v>121</v>
      </c>
      <c r="D1400">
        <v>55.2</v>
      </c>
      <c r="E1400">
        <f t="shared" si="60"/>
        <v>55.2</v>
      </c>
      <c r="F1400" t="s">
        <v>42</v>
      </c>
      <c r="G1400" t="s">
        <v>42</v>
      </c>
      <c r="H1400" t="s">
        <v>42</v>
      </c>
      <c r="I1400" t="s">
        <v>42</v>
      </c>
      <c r="J1400" t="s">
        <v>42</v>
      </c>
      <c r="K1400" t="s">
        <v>42</v>
      </c>
      <c r="L1400" t="s">
        <v>42</v>
      </c>
      <c r="M1400" t="s">
        <v>122</v>
      </c>
      <c r="N1400" t="s">
        <v>122</v>
      </c>
    </row>
    <row r="1401" spans="1:14" x14ac:dyDescent="0.25">
      <c r="A1401" t="s">
        <v>141</v>
      </c>
      <c r="B1401" s="11" t="s">
        <v>68</v>
      </c>
      <c r="C1401" t="s">
        <v>121</v>
      </c>
      <c r="D1401">
        <v>34.9</v>
      </c>
      <c r="E1401">
        <f t="shared" si="60"/>
        <v>34.9</v>
      </c>
      <c r="F1401" t="s">
        <v>42</v>
      </c>
      <c r="G1401" t="s">
        <v>42</v>
      </c>
      <c r="H1401" t="s">
        <v>42</v>
      </c>
      <c r="I1401" t="s">
        <v>42</v>
      </c>
      <c r="J1401" t="s">
        <v>42</v>
      </c>
      <c r="K1401" t="s">
        <v>42</v>
      </c>
      <c r="L1401" t="s">
        <v>42</v>
      </c>
      <c r="M1401" t="s">
        <v>122</v>
      </c>
      <c r="N1401" t="s">
        <v>122</v>
      </c>
    </row>
    <row r="1402" spans="1:14" x14ac:dyDescent="0.25">
      <c r="A1402" t="s">
        <v>141</v>
      </c>
      <c r="B1402" s="11" t="s">
        <v>68</v>
      </c>
      <c r="C1402" t="s">
        <v>121</v>
      </c>
      <c r="D1402">
        <v>27.3</v>
      </c>
      <c r="E1402">
        <f t="shared" si="60"/>
        <v>27.3</v>
      </c>
      <c r="F1402" t="s">
        <v>42</v>
      </c>
      <c r="G1402" t="s">
        <v>42</v>
      </c>
      <c r="H1402" t="s">
        <v>42</v>
      </c>
      <c r="I1402" t="s">
        <v>42</v>
      </c>
      <c r="J1402" t="s">
        <v>42</v>
      </c>
      <c r="K1402" t="s">
        <v>42</v>
      </c>
      <c r="L1402" t="s">
        <v>42</v>
      </c>
      <c r="M1402" t="s">
        <v>122</v>
      </c>
      <c r="N1402" t="s">
        <v>122</v>
      </c>
    </row>
    <row r="1403" spans="1:14" x14ac:dyDescent="0.25">
      <c r="A1403" t="s">
        <v>141</v>
      </c>
      <c r="B1403" s="11" t="s">
        <v>68</v>
      </c>
      <c r="C1403" t="s">
        <v>121</v>
      </c>
      <c r="D1403">
        <v>24.3</v>
      </c>
      <c r="E1403">
        <f t="shared" si="60"/>
        <v>24.3</v>
      </c>
      <c r="F1403" t="s">
        <v>42</v>
      </c>
      <c r="G1403" t="s">
        <v>42</v>
      </c>
      <c r="H1403" t="s">
        <v>42</v>
      </c>
      <c r="I1403" t="s">
        <v>42</v>
      </c>
      <c r="J1403" t="s">
        <v>42</v>
      </c>
      <c r="K1403" t="s">
        <v>42</v>
      </c>
      <c r="L1403" t="s">
        <v>42</v>
      </c>
      <c r="M1403" t="s">
        <v>122</v>
      </c>
      <c r="N1403" t="s">
        <v>122</v>
      </c>
    </row>
    <row r="1404" spans="1:14" x14ac:dyDescent="0.25">
      <c r="A1404" t="s">
        <v>141</v>
      </c>
      <c r="B1404" s="11" t="s">
        <v>68</v>
      </c>
      <c r="C1404" t="s">
        <v>121</v>
      </c>
      <c r="D1404">
        <v>9.9</v>
      </c>
      <c r="E1404">
        <f t="shared" si="60"/>
        <v>9.9</v>
      </c>
      <c r="F1404" t="s">
        <v>42</v>
      </c>
      <c r="G1404" t="s">
        <v>42</v>
      </c>
      <c r="H1404" t="s">
        <v>42</v>
      </c>
      <c r="I1404" t="s">
        <v>42</v>
      </c>
      <c r="J1404" t="s">
        <v>42</v>
      </c>
      <c r="K1404" t="s">
        <v>42</v>
      </c>
      <c r="L1404" t="s">
        <v>42</v>
      </c>
      <c r="M1404" t="s">
        <v>122</v>
      </c>
      <c r="N1404" t="s">
        <v>122</v>
      </c>
    </row>
    <row r="1405" spans="1:14" x14ac:dyDescent="0.25">
      <c r="A1405" t="s">
        <v>141</v>
      </c>
      <c r="B1405" s="11" t="s">
        <v>68</v>
      </c>
      <c r="C1405" t="s">
        <v>121</v>
      </c>
      <c r="D1405">
        <v>8.5</v>
      </c>
      <c r="E1405">
        <f t="shared" si="60"/>
        <v>8.5</v>
      </c>
      <c r="F1405" t="s">
        <v>42</v>
      </c>
      <c r="G1405" t="s">
        <v>42</v>
      </c>
      <c r="H1405" t="s">
        <v>42</v>
      </c>
      <c r="I1405" t="s">
        <v>42</v>
      </c>
      <c r="J1405" t="s">
        <v>42</v>
      </c>
      <c r="K1405" t="s">
        <v>42</v>
      </c>
      <c r="L1405" t="s">
        <v>42</v>
      </c>
      <c r="M1405" t="s">
        <v>122</v>
      </c>
      <c r="N1405" t="s">
        <v>122</v>
      </c>
    </row>
    <row r="1406" spans="1:14" x14ac:dyDescent="0.25">
      <c r="A1406" t="s">
        <v>141</v>
      </c>
      <c r="B1406" s="11" t="s">
        <v>68</v>
      </c>
      <c r="C1406" t="s">
        <v>121</v>
      </c>
      <c r="D1406">
        <v>14.3</v>
      </c>
      <c r="E1406">
        <f t="shared" si="60"/>
        <v>14.3</v>
      </c>
      <c r="F1406" t="s">
        <v>42</v>
      </c>
      <c r="G1406" t="s">
        <v>42</v>
      </c>
      <c r="H1406" t="s">
        <v>42</v>
      </c>
      <c r="I1406" t="s">
        <v>42</v>
      </c>
      <c r="J1406" t="s">
        <v>42</v>
      </c>
      <c r="K1406" t="s">
        <v>42</v>
      </c>
      <c r="L1406" t="s">
        <v>42</v>
      </c>
      <c r="M1406" t="s">
        <v>122</v>
      </c>
      <c r="N1406" t="s">
        <v>122</v>
      </c>
    </row>
    <row r="1407" spans="1:14" x14ac:dyDescent="0.25">
      <c r="A1407" t="s">
        <v>141</v>
      </c>
      <c r="B1407" s="11" t="s">
        <v>68</v>
      </c>
      <c r="C1407" t="s">
        <v>121</v>
      </c>
      <c r="D1407">
        <v>34.299999999999997</v>
      </c>
      <c r="E1407">
        <f t="shared" si="60"/>
        <v>34.299999999999997</v>
      </c>
      <c r="F1407" t="s">
        <v>42</v>
      </c>
      <c r="G1407" t="s">
        <v>42</v>
      </c>
      <c r="H1407" t="s">
        <v>42</v>
      </c>
      <c r="I1407" t="s">
        <v>42</v>
      </c>
      <c r="J1407" t="s">
        <v>42</v>
      </c>
      <c r="K1407" t="s">
        <v>42</v>
      </c>
      <c r="L1407" t="s">
        <v>42</v>
      </c>
      <c r="M1407" t="s">
        <v>122</v>
      </c>
      <c r="N1407" t="s">
        <v>122</v>
      </c>
    </row>
    <row r="1408" spans="1:14" x14ac:dyDescent="0.25">
      <c r="A1408" t="s">
        <v>141</v>
      </c>
      <c r="B1408" s="11" t="s">
        <v>68</v>
      </c>
      <c r="C1408" t="s">
        <v>121</v>
      </c>
      <c r="D1408">
        <v>107</v>
      </c>
      <c r="E1408">
        <f t="shared" si="60"/>
        <v>107</v>
      </c>
      <c r="F1408" t="s">
        <v>42</v>
      </c>
      <c r="G1408" t="s">
        <v>42</v>
      </c>
      <c r="H1408" t="s">
        <v>42</v>
      </c>
      <c r="I1408" t="s">
        <v>42</v>
      </c>
      <c r="J1408" t="s">
        <v>42</v>
      </c>
      <c r="K1408" t="s">
        <v>42</v>
      </c>
      <c r="L1408" t="s">
        <v>42</v>
      </c>
      <c r="M1408" t="s">
        <v>122</v>
      </c>
      <c r="N1408" t="s">
        <v>122</v>
      </c>
    </row>
    <row r="1409" spans="1:14" x14ac:dyDescent="0.25">
      <c r="A1409" t="s">
        <v>141</v>
      </c>
      <c r="B1409" s="11" t="s">
        <v>68</v>
      </c>
      <c r="C1409" t="s">
        <v>121</v>
      </c>
      <c r="D1409">
        <v>33.9</v>
      </c>
      <c r="E1409">
        <f t="shared" si="60"/>
        <v>33.9</v>
      </c>
      <c r="F1409" t="s">
        <v>42</v>
      </c>
      <c r="G1409" t="s">
        <v>42</v>
      </c>
      <c r="H1409" t="s">
        <v>42</v>
      </c>
      <c r="I1409" t="s">
        <v>42</v>
      </c>
      <c r="J1409" t="s">
        <v>42</v>
      </c>
      <c r="K1409" t="s">
        <v>42</v>
      </c>
      <c r="L1409" t="s">
        <v>42</v>
      </c>
      <c r="M1409" t="s">
        <v>122</v>
      </c>
      <c r="N1409" t="s">
        <v>122</v>
      </c>
    </row>
    <row r="1410" spans="1:14" x14ac:dyDescent="0.25">
      <c r="A1410" t="s">
        <v>141</v>
      </c>
      <c r="B1410" s="11" t="s">
        <v>68</v>
      </c>
      <c r="C1410" t="s">
        <v>123</v>
      </c>
      <c r="D1410">
        <v>7.9</v>
      </c>
      <c r="E1410">
        <f t="shared" si="60"/>
        <v>7.9</v>
      </c>
      <c r="F1410" t="s">
        <v>42</v>
      </c>
      <c r="G1410" t="s">
        <v>42</v>
      </c>
      <c r="H1410" t="s">
        <v>42</v>
      </c>
      <c r="I1410" t="s">
        <v>42</v>
      </c>
      <c r="J1410" t="s">
        <v>42</v>
      </c>
      <c r="K1410" t="s">
        <v>42</v>
      </c>
      <c r="L1410" t="s">
        <v>42</v>
      </c>
      <c r="M1410" t="s">
        <v>122</v>
      </c>
      <c r="N1410" t="s">
        <v>122</v>
      </c>
    </row>
    <row r="1411" spans="1:14" x14ac:dyDescent="0.25">
      <c r="A1411" t="s">
        <v>141</v>
      </c>
      <c r="B1411" s="11" t="s">
        <v>68</v>
      </c>
      <c r="C1411" t="s">
        <v>121</v>
      </c>
      <c r="D1411">
        <v>30.6</v>
      </c>
      <c r="E1411">
        <f t="shared" si="60"/>
        <v>30.6</v>
      </c>
      <c r="F1411" t="s">
        <v>42</v>
      </c>
      <c r="G1411" t="s">
        <v>42</v>
      </c>
      <c r="H1411" t="s">
        <v>42</v>
      </c>
      <c r="I1411" t="s">
        <v>42</v>
      </c>
      <c r="J1411" t="s">
        <v>42</v>
      </c>
      <c r="K1411" t="s">
        <v>42</v>
      </c>
      <c r="L1411" t="s">
        <v>42</v>
      </c>
      <c r="M1411" t="s">
        <v>122</v>
      </c>
      <c r="N1411" t="s">
        <v>122</v>
      </c>
    </row>
    <row r="1412" spans="1:14" x14ac:dyDescent="0.25">
      <c r="A1412" t="s">
        <v>141</v>
      </c>
      <c r="B1412" s="11" t="s">
        <v>68</v>
      </c>
      <c r="C1412" t="s">
        <v>121</v>
      </c>
      <c r="D1412">
        <v>14.7</v>
      </c>
      <c r="E1412">
        <f t="shared" si="60"/>
        <v>14.7</v>
      </c>
      <c r="F1412" t="s">
        <v>42</v>
      </c>
      <c r="G1412" t="s">
        <v>42</v>
      </c>
      <c r="H1412" t="s">
        <v>42</v>
      </c>
      <c r="I1412" t="s">
        <v>42</v>
      </c>
      <c r="J1412" t="s">
        <v>42</v>
      </c>
      <c r="K1412" t="s">
        <v>42</v>
      </c>
      <c r="L1412" t="s">
        <v>42</v>
      </c>
      <c r="M1412" t="s">
        <v>122</v>
      </c>
      <c r="N1412" t="s">
        <v>122</v>
      </c>
    </row>
    <row r="1413" spans="1:14" x14ac:dyDescent="0.25">
      <c r="A1413" t="s">
        <v>141</v>
      </c>
      <c r="B1413" s="11" t="s">
        <v>68</v>
      </c>
      <c r="C1413" t="s">
        <v>121</v>
      </c>
      <c r="D1413">
        <v>20.6</v>
      </c>
      <c r="E1413">
        <f t="shared" si="60"/>
        <v>20.6</v>
      </c>
      <c r="F1413" t="s">
        <v>42</v>
      </c>
      <c r="G1413" t="s">
        <v>42</v>
      </c>
      <c r="H1413" t="s">
        <v>42</v>
      </c>
      <c r="I1413" t="s">
        <v>42</v>
      </c>
      <c r="J1413" t="s">
        <v>42</v>
      </c>
      <c r="K1413" t="s">
        <v>42</v>
      </c>
      <c r="L1413" t="s">
        <v>42</v>
      </c>
      <c r="M1413" t="s">
        <v>122</v>
      </c>
      <c r="N1413" t="s">
        <v>122</v>
      </c>
    </row>
    <row r="1414" spans="1:14" x14ac:dyDescent="0.25">
      <c r="A1414" t="s">
        <v>141</v>
      </c>
      <c r="B1414" s="11" t="s">
        <v>68</v>
      </c>
      <c r="C1414" t="s">
        <v>121</v>
      </c>
      <c r="D1414">
        <v>30.2</v>
      </c>
      <c r="E1414">
        <f t="shared" si="60"/>
        <v>30.2</v>
      </c>
      <c r="F1414" t="s">
        <v>42</v>
      </c>
      <c r="G1414" t="s">
        <v>42</v>
      </c>
      <c r="H1414" t="s">
        <v>42</v>
      </c>
      <c r="I1414" t="s">
        <v>42</v>
      </c>
      <c r="J1414" t="s">
        <v>42</v>
      </c>
      <c r="K1414" t="s">
        <v>42</v>
      </c>
      <c r="L1414" t="s">
        <v>42</v>
      </c>
      <c r="M1414" t="s">
        <v>122</v>
      </c>
      <c r="N1414" t="s">
        <v>122</v>
      </c>
    </row>
    <row r="1415" spans="1:14" x14ac:dyDescent="0.25">
      <c r="A1415" t="s">
        <v>141</v>
      </c>
      <c r="B1415" s="11" t="s">
        <v>68</v>
      </c>
      <c r="C1415" t="s">
        <v>121</v>
      </c>
      <c r="D1415">
        <v>11</v>
      </c>
      <c r="E1415">
        <f t="shared" si="60"/>
        <v>11</v>
      </c>
      <c r="F1415" t="s">
        <v>42</v>
      </c>
      <c r="G1415" t="s">
        <v>42</v>
      </c>
      <c r="H1415" t="s">
        <v>42</v>
      </c>
      <c r="I1415" t="s">
        <v>42</v>
      </c>
      <c r="J1415" t="s">
        <v>42</v>
      </c>
      <c r="K1415" t="s">
        <v>42</v>
      </c>
      <c r="L1415" t="s">
        <v>42</v>
      </c>
      <c r="M1415" t="s">
        <v>122</v>
      </c>
      <c r="N1415" t="s">
        <v>122</v>
      </c>
    </row>
    <row r="1416" spans="1:14" x14ac:dyDescent="0.25">
      <c r="A1416" t="s">
        <v>141</v>
      </c>
      <c r="B1416" s="11" t="s">
        <v>68</v>
      </c>
      <c r="C1416" t="s">
        <v>123</v>
      </c>
      <c r="D1416">
        <v>8.4</v>
      </c>
      <c r="E1416">
        <f t="shared" si="60"/>
        <v>8.4</v>
      </c>
      <c r="F1416" t="s">
        <v>42</v>
      </c>
      <c r="G1416" t="s">
        <v>42</v>
      </c>
      <c r="H1416" t="s">
        <v>42</v>
      </c>
      <c r="I1416" t="s">
        <v>42</v>
      </c>
      <c r="J1416" t="s">
        <v>42</v>
      </c>
      <c r="K1416" t="s">
        <v>42</v>
      </c>
      <c r="L1416" t="s">
        <v>42</v>
      </c>
      <c r="M1416" t="s">
        <v>122</v>
      </c>
      <c r="N1416" t="s">
        <v>122</v>
      </c>
    </row>
    <row r="1417" spans="1:14" x14ac:dyDescent="0.25">
      <c r="A1417" t="s">
        <v>141</v>
      </c>
      <c r="B1417" s="11" t="s">
        <v>68</v>
      </c>
      <c r="C1417" t="s">
        <v>123</v>
      </c>
      <c r="D1417">
        <v>12.5</v>
      </c>
      <c r="E1417">
        <f t="shared" si="60"/>
        <v>12.5</v>
      </c>
      <c r="F1417" t="s">
        <v>42</v>
      </c>
      <c r="G1417" t="s">
        <v>42</v>
      </c>
      <c r="H1417" t="s">
        <v>42</v>
      </c>
      <c r="I1417" t="s">
        <v>42</v>
      </c>
      <c r="J1417" t="s">
        <v>42</v>
      </c>
      <c r="K1417" t="s">
        <v>42</v>
      </c>
      <c r="L1417" t="s">
        <v>42</v>
      </c>
      <c r="M1417" t="s">
        <v>122</v>
      </c>
      <c r="N1417" t="s">
        <v>122</v>
      </c>
    </row>
    <row r="1418" spans="1:14" x14ac:dyDescent="0.25">
      <c r="A1418" t="s">
        <v>141</v>
      </c>
      <c r="B1418" s="11" t="s">
        <v>68</v>
      </c>
      <c r="C1418" t="s">
        <v>121</v>
      </c>
      <c r="D1418">
        <v>8.9</v>
      </c>
      <c r="E1418">
        <f t="shared" si="60"/>
        <v>8.9</v>
      </c>
      <c r="F1418" t="s">
        <v>42</v>
      </c>
      <c r="G1418" t="s">
        <v>42</v>
      </c>
      <c r="H1418" t="s">
        <v>42</v>
      </c>
      <c r="I1418" t="s">
        <v>42</v>
      </c>
      <c r="J1418" t="s">
        <v>42</v>
      </c>
      <c r="K1418" t="s">
        <v>42</v>
      </c>
      <c r="L1418" t="s">
        <v>42</v>
      </c>
      <c r="M1418" t="s">
        <v>122</v>
      </c>
      <c r="N1418" t="s">
        <v>122</v>
      </c>
    </row>
    <row r="1419" spans="1:14" x14ac:dyDescent="0.25">
      <c r="A1419" t="s">
        <v>141</v>
      </c>
      <c r="B1419" s="11" t="s">
        <v>68</v>
      </c>
      <c r="C1419" t="s">
        <v>123</v>
      </c>
      <c r="D1419">
        <v>7.5</v>
      </c>
      <c r="E1419">
        <f t="shared" si="60"/>
        <v>7.5</v>
      </c>
      <c r="F1419" t="s">
        <v>42</v>
      </c>
      <c r="G1419" t="s">
        <v>42</v>
      </c>
      <c r="H1419" t="s">
        <v>42</v>
      </c>
      <c r="I1419" t="s">
        <v>42</v>
      </c>
      <c r="J1419" t="s">
        <v>42</v>
      </c>
      <c r="K1419" t="s">
        <v>42</v>
      </c>
      <c r="L1419" t="s">
        <v>42</v>
      </c>
      <c r="M1419" t="s">
        <v>122</v>
      </c>
      <c r="N1419" t="s">
        <v>122</v>
      </c>
    </row>
    <row r="1420" spans="1:14" x14ac:dyDescent="0.25">
      <c r="A1420" t="s">
        <v>141</v>
      </c>
      <c r="B1420" s="11" t="s">
        <v>68</v>
      </c>
      <c r="C1420" t="s">
        <v>121</v>
      </c>
      <c r="D1420">
        <v>110</v>
      </c>
      <c r="E1420">
        <f t="shared" si="60"/>
        <v>110</v>
      </c>
      <c r="F1420" t="s">
        <v>42</v>
      </c>
      <c r="G1420" t="s">
        <v>42</v>
      </c>
      <c r="H1420" t="s">
        <v>42</v>
      </c>
      <c r="I1420" t="s">
        <v>42</v>
      </c>
      <c r="J1420" t="s">
        <v>42</v>
      </c>
      <c r="K1420" t="s">
        <v>42</v>
      </c>
      <c r="L1420" t="s">
        <v>42</v>
      </c>
      <c r="M1420" t="s">
        <v>122</v>
      </c>
      <c r="N1420" t="s">
        <v>122</v>
      </c>
    </row>
    <row r="1421" spans="1:14" x14ac:dyDescent="0.25">
      <c r="A1421" t="s">
        <v>141</v>
      </c>
      <c r="B1421" s="11" t="s">
        <v>68</v>
      </c>
      <c r="C1421" t="s">
        <v>121</v>
      </c>
      <c r="D1421">
        <v>43.4</v>
      </c>
      <c r="E1421">
        <f t="shared" si="60"/>
        <v>43.4</v>
      </c>
      <c r="F1421" t="s">
        <v>42</v>
      </c>
      <c r="G1421" t="s">
        <v>42</v>
      </c>
      <c r="H1421" t="s">
        <v>42</v>
      </c>
      <c r="I1421" t="s">
        <v>42</v>
      </c>
      <c r="J1421" t="s">
        <v>42</v>
      </c>
      <c r="K1421" t="s">
        <v>42</v>
      </c>
      <c r="L1421" t="s">
        <v>42</v>
      </c>
      <c r="M1421" t="s">
        <v>122</v>
      </c>
      <c r="N1421" t="s">
        <v>122</v>
      </c>
    </row>
    <row r="1422" spans="1:14" x14ac:dyDescent="0.25">
      <c r="A1422" t="s">
        <v>141</v>
      </c>
      <c r="B1422" s="11" t="s">
        <v>68</v>
      </c>
      <c r="C1422" t="s">
        <v>121</v>
      </c>
      <c r="D1422">
        <v>64.3</v>
      </c>
      <c r="E1422">
        <f t="shared" si="60"/>
        <v>64.3</v>
      </c>
      <c r="F1422" t="s">
        <v>42</v>
      </c>
      <c r="G1422" t="s">
        <v>42</v>
      </c>
      <c r="H1422" t="s">
        <v>42</v>
      </c>
      <c r="I1422" t="s">
        <v>42</v>
      </c>
      <c r="J1422" t="s">
        <v>42</v>
      </c>
      <c r="K1422" t="s">
        <v>42</v>
      </c>
      <c r="L1422" t="s">
        <v>42</v>
      </c>
      <c r="M1422" t="s">
        <v>122</v>
      </c>
      <c r="N1422" t="s">
        <v>122</v>
      </c>
    </row>
    <row r="1423" spans="1:14" x14ac:dyDescent="0.25">
      <c r="A1423" t="s">
        <v>141</v>
      </c>
      <c r="B1423" s="11" t="s">
        <v>116</v>
      </c>
      <c r="C1423" t="s">
        <v>121</v>
      </c>
      <c r="D1423">
        <v>10.6</v>
      </c>
      <c r="E1423">
        <f t="shared" si="60"/>
        <v>10.6</v>
      </c>
      <c r="F1423" t="s">
        <v>42</v>
      </c>
      <c r="G1423" t="s">
        <v>42</v>
      </c>
      <c r="H1423" t="s">
        <v>42</v>
      </c>
      <c r="I1423" t="s">
        <v>42</v>
      </c>
      <c r="J1423" t="s">
        <v>42</v>
      </c>
      <c r="K1423" t="s">
        <v>42</v>
      </c>
      <c r="L1423" t="s">
        <v>42</v>
      </c>
      <c r="M1423" t="s">
        <v>122</v>
      </c>
      <c r="N1423" t="s">
        <v>122</v>
      </c>
    </row>
    <row r="1424" spans="1:14" x14ac:dyDescent="0.25">
      <c r="B1424" s="11"/>
    </row>
    <row r="1425" spans="2:2" x14ac:dyDescent="0.25">
      <c r="B1425" s="11"/>
    </row>
    <row r="1426" spans="2:2" x14ac:dyDescent="0.25">
      <c r="B1426" s="11"/>
    </row>
    <row r="1427" spans="2:2" x14ac:dyDescent="0.25">
      <c r="B1427" s="11"/>
    </row>
    <row r="1428" spans="2:2" x14ac:dyDescent="0.25">
      <c r="B1428" s="11"/>
    </row>
    <row r="1429" spans="2:2" x14ac:dyDescent="0.25">
      <c r="B1429" s="11"/>
    </row>
    <row r="1430" spans="2:2" x14ac:dyDescent="0.25">
      <c r="B1430" s="11"/>
    </row>
    <row r="1431" spans="2:2" x14ac:dyDescent="0.25">
      <c r="B1431" s="11"/>
    </row>
    <row r="1432" spans="2:2" x14ac:dyDescent="0.25">
      <c r="B1432" s="11"/>
    </row>
    <row r="1433" spans="2:2" x14ac:dyDescent="0.25">
      <c r="B1433" s="11"/>
    </row>
    <row r="1434" spans="2:2" x14ac:dyDescent="0.25">
      <c r="B1434" s="11"/>
    </row>
    <row r="1435" spans="2:2" x14ac:dyDescent="0.25">
      <c r="B1435" s="11"/>
    </row>
    <row r="1436" spans="2:2" x14ac:dyDescent="0.25">
      <c r="B1436" s="11"/>
    </row>
    <row r="1437" spans="2:2" x14ac:dyDescent="0.25">
      <c r="B1437" s="11"/>
    </row>
    <row r="1438" spans="2:2" x14ac:dyDescent="0.25">
      <c r="B1438" s="11"/>
    </row>
    <row r="1439" spans="2:2" x14ac:dyDescent="0.25">
      <c r="B1439" s="11"/>
    </row>
    <row r="1440" spans="2:2" x14ac:dyDescent="0.25">
      <c r="B1440" s="11"/>
    </row>
    <row r="1441" spans="2:2" x14ac:dyDescent="0.25">
      <c r="B1441" s="11"/>
    </row>
    <row r="1442" spans="2:2" x14ac:dyDescent="0.25">
      <c r="B1442" s="11"/>
    </row>
    <row r="1443" spans="2:2" x14ac:dyDescent="0.25">
      <c r="B1443" s="11"/>
    </row>
    <row r="1444" spans="2:2" x14ac:dyDescent="0.25">
      <c r="B1444" s="11"/>
    </row>
    <row r="1445" spans="2:2" x14ac:dyDescent="0.25">
      <c r="B1445" s="11"/>
    </row>
    <row r="1446" spans="2:2" x14ac:dyDescent="0.25">
      <c r="B1446" s="11"/>
    </row>
    <row r="1447" spans="2:2" x14ac:dyDescent="0.25">
      <c r="B1447" s="11"/>
    </row>
    <row r="1448" spans="2:2" x14ac:dyDescent="0.25">
      <c r="B1448" s="11"/>
    </row>
    <row r="1449" spans="2:2" x14ac:dyDescent="0.25">
      <c r="B1449" s="11"/>
    </row>
    <row r="1450" spans="2:2" x14ac:dyDescent="0.25">
      <c r="B1450" s="11"/>
    </row>
    <row r="1451" spans="2:2" x14ac:dyDescent="0.25">
      <c r="B1451" s="11"/>
    </row>
    <row r="1452" spans="2:2" x14ac:dyDescent="0.25">
      <c r="B1452" s="11"/>
    </row>
    <row r="1453" spans="2:2" x14ac:dyDescent="0.25">
      <c r="B1453" s="11"/>
    </row>
    <row r="1454" spans="2:2" x14ac:dyDescent="0.25">
      <c r="B1454" s="11"/>
    </row>
    <row r="1455" spans="2:2" x14ac:dyDescent="0.25">
      <c r="B1455" s="11"/>
    </row>
    <row r="1456" spans="2:2" x14ac:dyDescent="0.25">
      <c r="B1456" s="11"/>
    </row>
    <row r="1457" spans="2:2" x14ac:dyDescent="0.25">
      <c r="B1457" s="11"/>
    </row>
    <row r="1458" spans="2:2" x14ac:dyDescent="0.25">
      <c r="B1458" s="11"/>
    </row>
    <row r="1459" spans="2:2" x14ac:dyDescent="0.25">
      <c r="B1459" s="11"/>
    </row>
    <row r="1460" spans="2:2" x14ac:dyDescent="0.25">
      <c r="B1460" s="11"/>
    </row>
    <row r="1461" spans="2:2" x14ac:dyDescent="0.25">
      <c r="B1461" s="11"/>
    </row>
    <row r="1462" spans="2:2" x14ac:dyDescent="0.25">
      <c r="B1462" s="11"/>
    </row>
    <row r="1463" spans="2:2" x14ac:dyDescent="0.25">
      <c r="B1463" s="11"/>
    </row>
    <row r="1464" spans="2:2" x14ac:dyDescent="0.25">
      <c r="B1464" s="11"/>
    </row>
    <row r="1465" spans="2:2" x14ac:dyDescent="0.25">
      <c r="B1465" s="11"/>
    </row>
    <row r="1466" spans="2:2" x14ac:dyDescent="0.25">
      <c r="B1466" s="11"/>
    </row>
    <row r="1467" spans="2:2" x14ac:dyDescent="0.25">
      <c r="B1467" s="11"/>
    </row>
    <row r="1468" spans="2:2" x14ac:dyDescent="0.25">
      <c r="B1468" s="11"/>
    </row>
    <row r="1469" spans="2:2" x14ac:dyDescent="0.25">
      <c r="B1469" s="11"/>
    </row>
    <row r="1470" spans="2:2" x14ac:dyDescent="0.25">
      <c r="B1470" s="11"/>
    </row>
    <row r="1471" spans="2:2" x14ac:dyDescent="0.25">
      <c r="B1471" s="11"/>
    </row>
    <row r="1472" spans="2:2" x14ac:dyDescent="0.25">
      <c r="B1472" s="11"/>
    </row>
    <row r="1473" spans="2:2" x14ac:dyDescent="0.25">
      <c r="B1473" s="11"/>
    </row>
    <row r="1474" spans="2:2" x14ac:dyDescent="0.25">
      <c r="B1474" s="11"/>
    </row>
    <row r="1475" spans="2:2" x14ac:dyDescent="0.25">
      <c r="B1475" s="11"/>
    </row>
    <row r="1476" spans="2:2" x14ac:dyDescent="0.25">
      <c r="B1476" s="11"/>
    </row>
    <row r="1477" spans="2:2" x14ac:dyDescent="0.25">
      <c r="B1477" s="11"/>
    </row>
    <row r="1478" spans="2:2" x14ac:dyDescent="0.25">
      <c r="B1478" s="11"/>
    </row>
    <row r="1479" spans="2:2" x14ac:dyDescent="0.25">
      <c r="B1479" s="11"/>
    </row>
    <row r="1480" spans="2:2" x14ac:dyDescent="0.25">
      <c r="B1480" s="11"/>
    </row>
    <row r="1481" spans="2:2" x14ac:dyDescent="0.25">
      <c r="B1481" s="11"/>
    </row>
    <row r="1482" spans="2:2" x14ac:dyDescent="0.25">
      <c r="B1482" s="11"/>
    </row>
    <row r="1483" spans="2:2" x14ac:dyDescent="0.25">
      <c r="B1483" s="11"/>
    </row>
    <row r="1484" spans="2:2" x14ac:dyDescent="0.25">
      <c r="B1484" s="11"/>
    </row>
    <row r="1485" spans="2:2" x14ac:dyDescent="0.25">
      <c r="B1485" s="11"/>
    </row>
    <row r="1486" spans="2:2" x14ac:dyDescent="0.25">
      <c r="B1486" s="11"/>
    </row>
    <row r="1487" spans="2:2" x14ac:dyDescent="0.25">
      <c r="B1487" s="11"/>
    </row>
    <row r="1488" spans="2:2" x14ac:dyDescent="0.25">
      <c r="B1488" s="11"/>
    </row>
    <row r="1489" spans="2:2" x14ac:dyDescent="0.25">
      <c r="B1489" s="11"/>
    </row>
    <row r="1490" spans="2:2" x14ac:dyDescent="0.25">
      <c r="B1490" s="11"/>
    </row>
    <row r="1491" spans="2:2" x14ac:dyDescent="0.25">
      <c r="B1491" s="11"/>
    </row>
    <row r="1492" spans="2:2" x14ac:dyDescent="0.25">
      <c r="B1492" s="11"/>
    </row>
    <row r="1493" spans="2:2" x14ac:dyDescent="0.25">
      <c r="B1493" s="11"/>
    </row>
    <row r="1494" spans="2:2" x14ac:dyDescent="0.25">
      <c r="B1494" s="11"/>
    </row>
    <row r="1495" spans="2:2" x14ac:dyDescent="0.25">
      <c r="B1495" s="11"/>
    </row>
    <row r="1496" spans="2:2" x14ac:dyDescent="0.25">
      <c r="B1496" s="11"/>
    </row>
    <row r="1497" spans="2:2" x14ac:dyDescent="0.25">
      <c r="B1497" s="11"/>
    </row>
    <row r="1498" spans="2:2" x14ac:dyDescent="0.25">
      <c r="B1498" s="11"/>
    </row>
    <row r="1499" spans="2:2" x14ac:dyDescent="0.25">
      <c r="B1499" s="11"/>
    </row>
    <row r="1500" spans="2:2" x14ac:dyDescent="0.25">
      <c r="B1500" s="11"/>
    </row>
    <row r="1501" spans="2:2" x14ac:dyDescent="0.25">
      <c r="B1501" s="11"/>
    </row>
    <row r="1502" spans="2:2" x14ac:dyDescent="0.25">
      <c r="B1502" s="11"/>
    </row>
    <row r="1503" spans="2:2" x14ac:dyDescent="0.25">
      <c r="B1503" s="11"/>
    </row>
    <row r="1504" spans="2:2" x14ac:dyDescent="0.25">
      <c r="B1504" s="11"/>
    </row>
    <row r="1505" spans="2:2" x14ac:dyDescent="0.25">
      <c r="B1505" s="11"/>
    </row>
    <row r="1506" spans="2:2" x14ac:dyDescent="0.25">
      <c r="B1506" s="11"/>
    </row>
    <row r="1507" spans="2:2" x14ac:dyDescent="0.25">
      <c r="B1507" s="11"/>
    </row>
    <row r="1508" spans="2:2" x14ac:dyDescent="0.25">
      <c r="B1508" s="11"/>
    </row>
    <row r="1509" spans="2:2" x14ac:dyDescent="0.25">
      <c r="B1509" s="11"/>
    </row>
    <row r="1510" spans="2:2" x14ac:dyDescent="0.25">
      <c r="B1510" s="11"/>
    </row>
    <row r="1511" spans="2:2" x14ac:dyDescent="0.25">
      <c r="B1511" s="11"/>
    </row>
    <row r="1512" spans="2:2" x14ac:dyDescent="0.25">
      <c r="B1512" s="11"/>
    </row>
    <row r="1513" spans="2:2" x14ac:dyDescent="0.25">
      <c r="B1513" s="11"/>
    </row>
    <row r="1514" spans="2:2" x14ac:dyDescent="0.25">
      <c r="B1514" s="11"/>
    </row>
    <row r="1515" spans="2:2" x14ac:dyDescent="0.25">
      <c r="B1515" s="11"/>
    </row>
    <row r="1516" spans="2:2" x14ac:dyDescent="0.25">
      <c r="B1516" s="11"/>
    </row>
    <row r="1517" spans="2:2" x14ac:dyDescent="0.25">
      <c r="B1517" s="11"/>
    </row>
    <row r="1518" spans="2:2" x14ac:dyDescent="0.25">
      <c r="B1518" s="11"/>
    </row>
    <row r="1519" spans="2:2" x14ac:dyDescent="0.25">
      <c r="B1519" s="11"/>
    </row>
    <row r="1520" spans="2:2" x14ac:dyDescent="0.25">
      <c r="B1520" s="11"/>
    </row>
    <row r="1521" spans="2:2" x14ac:dyDescent="0.25">
      <c r="B1521" s="11"/>
    </row>
    <row r="1522" spans="2:2" x14ac:dyDescent="0.25">
      <c r="B1522" s="11"/>
    </row>
    <row r="1523" spans="2:2" x14ac:dyDescent="0.25">
      <c r="B1523" s="11"/>
    </row>
    <row r="1524" spans="2:2" x14ac:dyDescent="0.25">
      <c r="B1524" s="11"/>
    </row>
    <row r="1525" spans="2:2" x14ac:dyDescent="0.25">
      <c r="B1525" s="11"/>
    </row>
    <row r="1526" spans="2:2" x14ac:dyDescent="0.25">
      <c r="B1526" s="11"/>
    </row>
    <row r="1527" spans="2:2" x14ac:dyDescent="0.25">
      <c r="B1527" s="11"/>
    </row>
    <row r="1528" spans="2:2" x14ac:dyDescent="0.25">
      <c r="B1528" s="11"/>
    </row>
    <row r="1529" spans="2:2" x14ac:dyDescent="0.25">
      <c r="B1529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E8FD3D12AB5641BA2CDEFF68C636AE" ma:contentTypeVersion="14" ma:contentTypeDescription="Crear nuevo documento." ma:contentTypeScope="" ma:versionID="1f806b21f0bcd0d6c19f20ff38509f5f">
  <xsd:schema xmlns:xsd="http://www.w3.org/2001/XMLSchema" xmlns:xs="http://www.w3.org/2001/XMLSchema" xmlns:p="http://schemas.microsoft.com/office/2006/metadata/properties" xmlns:ns2="8320c603-250e-4226-a111-88f326a464b9" xmlns:ns3="b5df38e5-da7c-47e2-9771-f0439764ec3a" targetNamespace="http://schemas.microsoft.com/office/2006/metadata/properties" ma:root="true" ma:fieldsID="76988704eac62859a95de19e2cfc8aeb" ns2:_="" ns3:_="">
    <xsd:import namespace="8320c603-250e-4226-a111-88f326a464b9"/>
    <xsd:import namespace="b5df38e5-da7c-47e2-9771-f0439764ec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0c603-250e-4226-a111-88f326a46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50c058-9a16-4c18-af0a-b01fc26bc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f38e5-da7c-47e2-9771-f0439764ec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a058a1-b10e-4d33-b92c-f3dc458952c6}" ma:internalName="TaxCatchAll" ma:showField="CatchAllData" ma:web="b5df38e5-da7c-47e2-9771-f0439764ec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20c603-250e-4226-a111-88f326a464b9">
      <Terms xmlns="http://schemas.microsoft.com/office/infopath/2007/PartnerControls"/>
    </lcf76f155ced4ddcb4097134ff3c332f>
    <TaxCatchAll xmlns="b5df38e5-da7c-47e2-9771-f0439764ec3a" xsi:nil="true"/>
  </documentManagement>
</p:properties>
</file>

<file path=customXml/itemProps1.xml><?xml version="1.0" encoding="utf-8"?>
<ds:datastoreItem xmlns:ds="http://schemas.openxmlformats.org/officeDocument/2006/customXml" ds:itemID="{9AB47E6C-6787-4C62-8020-EFD1C07E5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20c603-250e-4226-a111-88f326a464b9"/>
    <ds:schemaRef ds:uri="b5df38e5-da7c-47e2-9771-f0439764ec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18472B-6C4B-4D64-855C-25A2E8DA52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B817D6-DC08-4466-9F34-59C73FD5FBD1}">
  <ds:schemaRefs>
    <ds:schemaRef ds:uri="http://schemas.microsoft.com/office/2006/metadata/properties"/>
    <ds:schemaRef ds:uri="http://schemas.microsoft.com/office/infopath/2007/PartnerControls"/>
    <ds:schemaRef ds:uri="8320c603-250e-4226-a111-88f326a464b9"/>
    <ds:schemaRef ds:uri="b5df38e5-da7c-47e2-9771-f0439764ec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plot_id</vt:lpstr>
      <vt:lpstr>shrubs</vt:lpstr>
      <vt:lpstr>trees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Teresa Gimeno</cp:lastModifiedBy>
  <cp:revision/>
  <dcterms:created xsi:type="dcterms:W3CDTF">2026-02-19T12:13:56Z</dcterms:created>
  <dcterms:modified xsi:type="dcterms:W3CDTF">2026-04-13T13:47:07Z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0x01010030E8FD3D12AB5641BA2CDEFF68C636AE</vt:lpwstr>
  </property>
  <property fmtid="{D5CDD505-2E9C-101B-9397-08002B2CF9AE}" pid="3" name="MediaServiceImageTags">
    <vt:lpwstr/>
  </property>
</Properties>
</file>